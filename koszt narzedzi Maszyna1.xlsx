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cuu\Desktop\Jacek\zarządzanie projektami\Projekt ogarnąć życie\3. Praca\Zostanie data engineer\9. Zadanie - analiza kosztów narzędzi\NEW\"/>
    </mc:Choice>
  </mc:AlternateContent>
  <xr:revisionPtr revIDLastSave="0" documentId="13_ncr:1_{34DDE1D4-C344-4044-B5CD-BAB199D1D4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tabl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" i="1"/>
  <c r="J2" i="1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" i="2"/>
</calcChain>
</file>

<file path=xl/sharedStrings.xml><?xml version="1.0" encoding="utf-8"?>
<sst xmlns="http://schemas.openxmlformats.org/spreadsheetml/2006/main" count="1902" uniqueCount="96">
  <si>
    <t>Nr zlecenia</t>
  </si>
  <si>
    <t>Poz.</t>
  </si>
  <si>
    <t>Numer referencyjny</t>
  </si>
  <si>
    <t>KTC</t>
  </si>
  <si>
    <t>nowe / uĹĽywane</t>
  </si>
  <si>
    <t>Nazwa 1</t>
  </si>
  <si>
    <t>Nazwa 2</t>
  </si>
  <si>
    <t>dostarcz. IloĹ›Ä‡</t>
  </si>
  <si>
    <t>Cena jednostkowa</t>
  </si>
  <si>
    <t>Cena Ĺ‚Ä…czna</t>
  </si>
  <si>
    <t>Pobranie</t>
  </si>
  <si>
    <t>Pracownicy</t>
  </si>
  <si>
    <t>Nr artykuĹ‚u</t>
  </si>
  <si>
    <t>Artikelnummer KROMI</t>
  </si>
  <si>
    <t>Centrum kosztĂłw</t>
  </si>
  <si>
    <t>Program</t>
  </si>
  <si>
    <t>Konto ksiÄ™gowe</t>
  </si>
  <si>
    <t>Grund</t>
  </si>
  <si>
    <t>nowy</t>
  </si>
  <si>
    <t>Gwintownik HSS-E</t>
  </si>
  <si>
    <t>M10</t>
  </si>
  <si>
    <t>uĹĽywany</t>
  </si>
  <si>
    <t>WiertĹ‚o stopniowe VHM</t>
  </si>
  <si>
    <t>C7 8,55x60x113 S12 Z2</t>
  </si>
  <si>
    <t>501130128500-1</t>
  </si>
  <si>
    <t>Rozwiertak jednostopniowy HM</t>
  </si>
  <si>
    <t>Typ HPR  Drm. 51,978</t>
  </si>
  <si>
    <t>943L1106</t>
  </si>
  <si>
    <t>501110519780-1</t>
  </si>
  <si>
    <t>PĹ‚ytka skrawajÄ…ca do toczenia VHM</t>
  </si>
  <si>
    <t>WNMG080408WM3 TP1501</t>
  </si>
  <si>
    <t>943X1018</t>
  </si>
  <si>
    <t>CNMG120412RP5 WKK20S</t>
  </si>
  <si>
    <t>Dia. 13,5-83-133 S16 Z3 C7</t>
  </si>
  <si>
    <t>943B3020</t>
  </si>
  <si>
    <t>501140240000-1</t>
  </si>
  <si>
    <t>PĹ‚ytka skrawajÄ…ca Ceramika</t>
  </si>
  <si>
    <t>SPHX1205PCTRGPBK KY3500</t>
  </si>
  <si>
    <t>943X9988</t>
  </si>
  <si>
    <t>DCMX11T304WF 3210</t>
  </si>
  <si>
    <t>943X1085</t>
  </si>
  <si>
    <t>CNMG120412-NM5 WAK20</t>
  </si>
  <si>
    <t>Rozwiertak VHM</t>
  </si>
  <si>
    <t>dia. 10,48X55x102,00mm  Z= 3</t>
  </si>
  <si>
    <t>C3 6,82-61-103 S10 Z2</t>
  </si>
  <si>
    <t>501130090003-1</t>
  </si>
  <si>
    <t>M8 TYP N R40 TIN IK</t>
  </si>
  <si>
    <t>PĹ‚ytka skrawajÄ…ca do wiercenia VHM</t>
  </si>
  <si>
    <t>880-030305H-C-GR 1044</t>
  </si>
  <si>
    <t>943X9215</t>
  </si>
  <si>
    <t>501150100005-1</t>
  </si>
  <si>
    <t>G1/2 GL=125mm IK TiAlN</t>
  </si>
  <si>
    <t>943G0231</t>
  </si>
  <si>
    <t>Dia. 10,5x43x100 Z3</t>
  </si>
  <si>
    <t>Frez trzpieniowy VHM</t>
  </si>
  <si>
    <t xml:space="preserve">C3 Drm. 8,5-28,2-75 S10 Z3 </t>
  </si>
  <si>
    <t>943U1786</t>
  </si>
  <si>
    <t>501160085000-1</t>
  </si>
  <si>
    <t>7/8-14 UNF</t>
  </si>
  <si>
    <t>943G0229</t>
  </si>
  <si>
    <t>C3 7,55-20-75 Z4</t>
  </si>
  <si>
    <t>DNMX110404-WF 3225</t>
  </si>
  <si>
    <t>WiertĹ‚o krÄ™te VHM</t>
  </si>
  <si>
    <t>Drm. 12,7mm Typ RT 100 U FIRE</t>
  </si>
  <si>
    <t>943B2908</t>
  </si>
  <si>
    <t>501130127000-2</t>
  </si>
  <si>
    <t>RCKT10T3M0PM 4220</t>
  </si>
  <si>
    <t>943X1105</t>
  </si>
  <si>
    <t>501120103000-2</t>
  </si>
  <si>
    <t>PogĹ‚Ä™biacz stoĹĽkowy VHM</t>
  </si>
  <si>
    <t>VHM Drm. 25,0 mm</t>
  </si>
  <si>
    <t>501130250000-2</t>
  </si>
  <si>
    <t>880-03 03 W06H-P-GR 4344</t>
  </si>
  <si>
    <t>943X9992</t>
  </si>
  <si>
    <t>501150127000-1</t>
  </si>
  <si>
    <t>501140127000-1</t>
  </si>
  <si>
    <t>dia 6,6x10h6x26x100 Z2</t>
  </si>
  <si>
    <t>P4840P-3R-A57 WKP35</t>
  </si>
  <si>
    <t>P4841C-3R-E57 WXP40</t>
  </si>
  <si>
    <t>501130104802-1</t>
  </si>
  <si>
    <t>Dia. 4,0 mm</t>
  </si>
  <si>
    <t>VHM BOHRER KU 2.6mm/.1024/ 3xD IK / B976Z02600 KCU15</t>
  </si>
  <si>
    <t>WM384-KE0</t>
  </si>
  <si>
    <t>Step Drill Ă10,5Ă22Ă22h6x110; Z2</t>
  </si>
  <si>
    <t>WM383-WE1</t>
  </si>
  <si>
    <t>501150078003-1</t>
  </si>
  <si>
    <t>Gwintownik VHM</t>
  </si>
  <si>
    <t>VPO-DC-MT MF12x1,5 DIN374</t>
  </si>
  <si>
    <t>GW59-OS0</t>
  </si>
  <si>
    <t xml:space="preserve">3CH2000DK020A KC633M  </t>
  </si>
  <si>
    <t>FP55-KE0</t>
  </si>
  <si>
    <t>M8x1,25mm 6HX</t>
  </si>
  <si>
    <t>943G0175</t>
  </si>
  <si>
    <t>DMG</t>
  </si>
  <si>
    <t>Maszyna1</t>
  </si>
  <si>
    <t>KTC-555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</si>
</sst>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"/>
  <sheetViews>
    <sheetView tabSelected="1" workbookViewId="0">
      <selection activeCell="D3" sqref="D3"/>
    </sheetView>
  </sheetViews>
  <sheetFormatPr defaultRowHeight="14.4" x14ac:dyDescent="0.3"/>
  <cols>
    <col min="1" max="1" width="22.109375" customWidth="1"/>
    <col min="3" max="3" width="27.88671875" customWidth="1"/>
    <col min="4" max="4" width="22.6640625" customWidth="1"/>
    <col min="6" max="6" width="40.6640625" customWidth="1"/>
    <col min="7" max="7" width="29.5546875" customWidth="1"/>
    <col min="11" max="11" width="15.44140625" customWidth="1"/>
    <col min="12" max="12" width="12.6640625" customWidth="1"/>
    <col min="13" max="13" width="24.109375" customWidth="1"/>
    <col min="14" max="14" width="16.5546875" customWidth="1"/>
    <col min="15" max="15" width="20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2004657427</v>
      </c>
      <c r="B2">
        <v>1</v>
      </c>
      <c r="C2">
        <v>524067707</v>
      </c>
      <c r="D2" t="s">
        <v>95</v>
      </c>
      <c r="E2" t="s">
        <v>21</v>
      </c>
      <c r="F2" t="s">
        <v>42</v>
      </c>
      <c r="G2" t="s">
        <v>44</v>
      </c>
      <c r="H2">
        <v>1</v>
      </c>
      <c r="I2">
        <f>_xlfn.XLOOKUP(G2, tablica!$R$3:$R$34, tablica!$T$3:$T$34)</f>
        <v>165</v>
      </c>
      <c r="J2">
        <f t="shared" ref="J2:J65" si="0">H2*I2</f>
        <v>165</v>
      </c>
      <c r="K2" s="1">
        <v>43107.449305555558</v>
      </c>
      <c r="L2">
        <v>8888</v>
      </c>
      <c r="M2">
        <f>_xlfn.XLOOKUP(G2, tablica!$R$3:$R$34, tablica!$U$3:$U$34)</f>
        <v>11000409</v>
      </c>
      <c r="N2">
        <f>_xlfn.XLOOKUP(G2, tablica!$R$3:$R$34, tablica!$V$3:$V$34)</f>
        <v>490310551016</v>
      </c>
      <c r="O2">
        <v>1131980</v>
      </c>
      <c r="P2" t="s">
        <v>94</v>
      </c>
      <c r="Q2" t="s">
        <v>93</v>
      </c>
    </row>
    <row r="3" spans="1:18" x14ac:dyDescent="0.3">
      <c r="A3">
        <v>2004657428</v>
      </c>
      <c r="B3">
        <v>1</v>
      </c>
      <c r="C3">
        <v>524067707</v>
      </c>
      <c r="D3" t="s">
        <v>95</v>
      </c>
      <c r="E3" t="s">
        <v>18</v>
      </c>
      <c r="F3" t="s">
        <v>19</v>
      </c>
      <c r="G3" t="s">
        <v>46</v>
      </c>
      <c r="H3">
        <v>1</v>
      </c>
      <c r="I3">
        <f>_xlfn.XLOOKUP(G3, tablica!$R$3:$R$34, tablica!$T$3:$T$34)</f>
        <v>259</v>
      </c>
      <c r="J3">
        <f t="shared" si="0"/>
        <v>259</v>
      </c>
      <c r="K3" s="1">
        <v>43107.45</v>
      </c>
      <c r="L3">
        <v>8888</v>
      </c>
      <c r="M3">
        <f>_xlfn.XLOOKUP(G3, tablica!$R$3:$R$34, tablica!$U$3:$U$34)</f>
        <v>11000444</v>
      </c>
      <c r="N3">
        <f>_xlfn.XLOOKUP(G3, tablica!$R$3:$R$34, tablica!$V$3:$V$34)</f>
        <v>244057088175</v>
      </c>
      <c r="O3">
        <v>1131980</v>
      </c>
      <c r="P3" t="s">
        <v>94</v>
      </c>
      <c r="Q3" t="s">
        <v>93</v>
      </c>
    </row>
    <row r="4" spans="1:18" x14ac:dyDescent="0.3">
      <c r="A4">
        <v>2004657429</v>
      </c>
      <c r="B4">
        <v>1</v>
      </c>
      <c r="C4">
        <v>524067707</v>
      </c>
      <c r="D4" t="s">
        <v>95</v>
      </c>
      <c r="E4" t="s">
        <v>18</v>
      </c>
      <c r="F4" t="s">
        <v>47</v>
      </c>
      <c r="G4" t="s">
        <v>48</v>
      </c>
      <c r="H4">
        <v>10</v>
      </c>
      <c r="I4">
        <f>_xlfn.XLOOKUP(G4, tablica!$R$3:$R$34, tablica!$T$3:$T$34)</f>
        <v>59</v>
      </c>
      <c r="J4">
        <f t="shared" si="0"/>
        <v>590</v>
      </c>
      <c r="K4" s="1">
        <v>43108.461111111108</v>
      </c>
      <c r="L4">
        <v>8888</v>
      </c>
      <c r="M4">
        <f>_xlfn.XLOOKUP(G4, tablica!$R$3:$R$34, tablica!$U$3:$U$34)</f>
        <v>11000490</v>
      </c>
      <c r="N4">
        <f>_xlfn.XLOOKUP(G4, tablica!$R$3:$R$34, tablica!$V$3:$V$34)</f>
        <v>288866335589</v>
      </c>
      <c r="O4">
        <v>1131980</v>
      </c>
      <c r="P4" t="s">
        <v>94</v>
      </c>
      <c r="Q4" t="s">
        <v>93</v>
      </c>
    </row>
    <row r="5" spans="1:18" x14ac:dyDescent="0.3">
      <c r="A5">
        <v>2004657430</v>
      </c>
      <c r="B5">
        <v>1</v>
      </c>
      <c r="C5">
        <v>524067707</v>
      </c>
      <c r="D5" t="s">
        <v>95</v>
      </c>
      <c r="E5" t="s">
        <v>18</v>
      </c>
      <c r="F5" t="s">
        <v>22</v>
      </c>
      <c r="G5" t="s">
        <v>23</v>
      </c>
      <c r="H5">
        <v>1</v>
      </c>
      <c r="I5">
        <f>_xlfn.XLOOKUP(G5, tablica!$R$3:$R$34, tablica!$T$3:$T$34)</f>
        <v>169</v>
      </c>
      <c r="J5">
        <f t="shared" si="0"/>
        <v>169</v>
      </c>
      <c r="K5" s="1">
        <v>43109.366666666669</v>
      </c>
      <c r="L5">
        <v>8888</v>
      </c>
      <c r="M5">
        <f>_xlfn.XLOOKUP(G5, tablica!$R$3:$R$34, tablica!$U$3:$U$34)</f>
        <v>11000412</v>
      </c>
      <c r="N5">
        <f>_xlfn.XLOOKUP(G5, tablica!$R$3:$R$34, tablica!$V$3:$V$34)</f>
        <v>176527023908</v>
      </c>
      <c r="O5">
        <v>1131980</v>
      </c>
      <c r="P5" t="s">
        <v>94</v>
      </c>
      <c r="Q5" t="s">
        <v>93</v>
      </c>
    </row>
    <row r="6" spans="1:18" x14ac:dyDescent="0.3">
      <c r="A6">
        <v>2004657431</v>
      </c>
      <c r="B6">
        <v>1</v>
      </c>
      <c r="C6">
        <v>524067707</v>
      </c>
      <c r="D6" t="s">
        <v>95</v>
      </c>
      <c r="E6" t="s">
        <v>21</v>
      </c>
      <c r="F6" t="s">
        <v>19</v>
      </c>
      <c r="G6" t="s">
        <v>20</v>
      </c>
      <c r="H6">
        <v>1</v>
      </c>
      <c r="I6">
        <f>_xlfn.XLOOKUP(G6, tablica!$R$3:$R$34, tablica!$T$3:$T$34)</f>
        <v>50</v>
      </c>
      <c r="J6">
        <f t="shared" si="0"/>
        <v>50</v>
      </c>
      <c r="K6" s="1">
        <v>43109.367361111108</v>
      </c>
      <c r="L6">
        <v>8888</v>
      </c>
      <c r="M6">
        <f>_xlfn.XLOOKUP(G6, tablica!$R$3:$R$34, tablica!$U$3:$U$34)</f>
        <v>11000317</v>
      </c>
      <c r="N6">
        <f>_xlfn.XLOOKUP(G6, tablica!$R$3:$R$34, tablica!$V$3:$V$34)</f>
        <v>241391757902</v>
      </c>
      <c r="O6">
        <v>1131980</v>
      </c>
      <c r="P6" t="s">
        <v>94</v>
      </c>
      <c r="Q6" t="s">
        <v>93</v>
      </c>
    </row>
    <row r="7" spans="1:18" x14ac:dyDescent="0.3">
      <c r="A7">
        <v>2004657432</v>
      </c>
      <c r="B7">
        <v>1</v>
      </c>
      <c r="C7">
        <v>524067707</v>
      </c>
      <c r="D7" t="s">
        <v>95</v>
      </c>
      <c r="E7" t="s">
        <v>21</v>
      </c>
      <c r="F7" t="s">
        <v>22</v>
      </c>
      <c r="G7" t="s">
        <v>33</v>
      </c>
      <c r="H7">
        <v>1</v>
      </c>
      <c r="I7">
        <f>_xlfn.XLOOKUP(G7, tablica!$R$3:$R$34, tablica!$T$3:$T$34)</f>
        <v>145</v>
      </c>
      <c r="J7">
        <f t="shared" si="0"/>
        <v>145</v>
      </c>
      <c r="K7" s="1">
        <v>43110.292361111111</v>
      </c>
      <c r="L7">
        <v>8888</v>
      </c>
      <c r="M7">
        <f>_xlfn.XLOOKUP(G7, tablica!$R$3:$R$34, tablica!$U$3:$U$34)</f>
        <v>11000269</v>
      </c>
      <c r="N7">
        <f>_xlfn.XLOOKUP(G7, tablica!$R$3:$R$34, tablica!$V$3:$V$34)</f>
        <v>363236906370</v>
      </c>
      <c r="O7">
        <v>1131980</v>
      </c>
      <c r="P7" t="s">
        <v>94</v>
      </c>
      <c r="Q7" t="s">
        <v>93</v>
      </c>
    </row>
    <row r="8" spans="1:18" x14ac:dyDescent="0.3">
      <c r="A8">
        <v>2004657433</v>
      </c>
      <c r="B8">
        <v>1</v>
      </c>
      <c r="C8">
        <v>524067707</v>
      </c>
      <c r="D8" t="s">
        <v>95</v>
      </c>
      <c r="E8" t="s">
        <v>18</v>
      </c>
      <c r="F8" t="s">
        <v>36</v>
      </c>
      <c r="G8" t="s">
        <v>37</v>
      </c>
      <c r="H8">
        <v>5</v>
      </c>
      <c r="I8">
        <f>_xlfn.XLOOKUP(G8, tablica!$R$3:$R$34, tablica!$T$3:$T$34)</f>
        <v>86</v>
      </c>
      <c r="J8">
        <f t="shared" si="0"/>
        <v>430</v>
      </c>
      <c r="K8" s="1">
        <v>43114.474999999999</v>
      </c>
      <c r="L8">
        <v>8888</v>
      </c>
      <c r="M8">
        <f>_xlfn.XLOOKUP(G8, tablica!$R$3:$R$34, tablica!$U$3:$U$34)</f>
        <v>11000265</v>
      </c>
      <c r="N8">
        <f>_xlfn.XLOOKUP(G8, tablica!$R$3:$R$34, tablica!$V$3:$V$34)</f>
        <v>79046819988</v>
      </c>
      <c r="O8">
        <v>1131980</v>
      </c>
      <c r="P8" t="s">
        <v>94</v>
      </c>
      <c r="Q8" t="s">
        <v>93</v>
      </c>
    </row>
    <row r="9" spans="1:18" x14ac:dyDescent="0.3">
      <c r="A9">
        <v>2004657434</v>
      </c>
      <c r="B9">
        <v>1</v>
      </c>
      <c r="C9">
        <v>524067707</v>
      </c>
      <c r="D9" t="s">
        <v>95</v>
      </c>
      <c r="E9" t="s">
        <v>21</v>
      </c>
      <c r="F9" t="s">
        <v>22</v>
      </c>
      <c r="G9" t="s">
        <v>33</v>
      </c>
      <c r="H9">
        <v>1</v>
      </c>
      <c r="I9">
        <f>_xlfn.XLOOKUP(G9, tablica!$R$3:$R$34, tablica!$T$3:$T$34)</f>
        <v>145</v>
      </c>
      <c r="J9">
        <f t="shared" si="0"/>
        <v>145</v>
      </c>
      <c r="K9" s="1">
        <v>43119.396527777775</v>
      </c>
      <c r="L9">
        <v>8888</v>
      </c>
      <c r="M9">
        <f>_xlfn.XLOOKUP(G9, tablica!$R$3:$R$34, tablica!$U$3:$U$34)</f>
        <v>11000269</v>
      </c>
      <c r="N9">
        <f>_xlfn.XLOOKUP(G9, tablica!$R$3:$R$34, tablica!$V$3:$V$34)</f>
        <v>363236906370</v>
      </c>
      <c r="O9">
        <v>1131980</v>
      </c>
      <c r="P9" t="s">
        <v>94</v>
      </c>
      <c r="Q9" t="s">
        <v>93</v>
      </c>
    </row>
    <row r="10" spans="1:18" x14ac:dyDescent="0.3">
      <c r="A10">
        <v>2004657435</v>
      </c>
      <c r="B10">
        <v>1</v>
      </c>
      <c r="C10">
        <v>524067707</v>
      </c>
      <c r="D10" t="s">
        <v>95</v>
      </c>
      <c r="E10" t="s">
        <v>18</v>
      </c>
      <c r="F10" t="s">
        <v>22</v>
      </c>
      <c r="G10" t="s">
        <v>23</v>
      </c>
      <c r="H10">
        <v>1</v>
      </c>
      <c r="I10">
        <f>_xlfn.XLOOKUP(G10, tablica!$R$3:$R$34, tablica!$T$3:$T$34)</f>
        <v>169</v>
      </c>
      <c r="J10">
        <f t="shared" si="0"/>
        <v>169</v>
      </c>
      <c r="K10" s="1">
        <v>43124.449305555558</v>
      </c>
      <c r="L10">
        <v>8888</v>
      </c>
      <c r="M10">
        <f>_xlfn.XLOOKUP(G10, tablica!$R$3:$R$34, tablica!$U$3:$U$34)</f>
        <v>11000412</v>
      </c>
      <c r="N10">
        <f>_xlfn.XLOOKUP(G10, tablica!$R$3:$R$34, tablica!$V$3:$V$34)</f>
        <v>176527023908</v>
      </c>
      <c r="O10">
        <v>1131980</v>
      </c>
      <c r="P10" t="s">
        <v>94</v>
      </c>
      <c r="Q10" t="s">
        <v>93</v>
      </c>
    </row>
    <row r="11" spans="1:18" x14ac:dyDescent="0.3">
      <c r="A11">
        <v>2004657436</v>
      </c>
      <c r="B11">
        <v>1</v>
      </c>
      <c r="C11">
        <v>524067707</v>
      </c>
      <c r="D11" t="s">
        <v>95</v>
      </c>
      <c r="E11" t="s">
        <v>21</v>
      </c>
      <c r="F11" t="s">
        <v>19</v>
      </c>
      <c r="G11" t="s">
        <v>20</v>
      </c>
      <c r="H11">
        <v>1</v>
      </c>
      <c r="I11">
        <f>_xlfn.XLOOKUP(G11, tablica!$R$3:$R$34, tablica!$T$3:$T$34)</f>
        <v>50</v>
      </c>
      <c r="J11">
        <f t="shared" si="0"/>
        <v>50</v>
      </c>
      <c r="K11" s="1">
        <v>43124.45</v>
      </c>
      <c r="L11">
        <v>8888</v>
      </c>
      <c r="M11">
        <f>_xlfn.XLOOKUP(G11, tablica!$R$3:$R$34, tablica!$U$3:$U$34)</f>
        <v>11000317</v>
      </c>
      <c r="N11">
        <f>_xlfn.XLOOKUP(G11, tablica!$R$3:$R$34, tablica!$V$3:$V$34)</f>
        <v>241391757902</v>
      </c>
      <c r="O11">
        <v>1131980</v>
      </c>
      <c r="P11" t="s">
        <v>94</v>
      </c>
      <c r="Q11" t="s">
        <v>93</v>
      </c>
    </row>
    <row r="12" spans="1:18" x14ac:dyDescent="0.3">
      <c r="A12">
        <v>2004657437</v>
      </c>
      <c r="B12">
        <v>1</v>
      </c>
      <c r="C12">
        <v>524067707</v>
      </c>
      <c r="D12" t="s">
        <v>95</v>
      </c>
      <c r="E12" t="s">
        <v>18</v>
      </c>
      <c r="F12" t="s">
        <v>29</v>
      </c>
      <c r="G12" t="s">
        <v>32</v>
      </c>
      <c r="H12">
        <v>10</v>
      </c>
      <c r="I12">
        <f>_xlfn.XLOOKUP(G12, tablica!$R$3:$R$34, tablica!$T$3:$T$34)</f>
        <v>217</v>
      </c>
      <c r="J12">
        <f t="shared" si="0"/>
        <v>2170</v>
      </c>
      <c r="K12" s="1">
        <v>43126.251388888886</v>
      </c>
      <c r="L12">
        <v>8888</v>
      </c>
      <c r="M12">
        <f>_xlfn.XLOOKUP(G12, tablica!$R$3:$R$34, tablica!$U$3:$U$34)</f>
        <v>11000428</v>
      </c>
      <c r="N12">
        <f>_xlfn.XLOOKUP(G12, tablica!$R$3:$R$34, tablica!$V$3:$V$34)</f>
        <v>332966150556</v>
      </c>
      <c r="O12">
        <v>1131980</v>
      </c>
      <c r="P12" t="s">
        <v>94</v>
      </c>
      <c r="Q12" t="s">
        <v>93</v>
      </c>
    </row>
    <row r="13" spans="1:18" x14ac:dyDescent="0.3">
      <c r="A13">
        <v>2004657438</v>
      </c>
      <c r="B13">
        <v>1</v>
      </c>
      <c r="C13">
        <v>524067707</v>
      </c>
      <c r="D13" t="s">
        <v>95</v>
      </c>
      <c r="E13" t="s">
        <v>21</v>
      </c>
      <c r="F13" t="s">
        <v>22</v>
      </c>
      <c r="G13" t="s">
        <v>33</v>
      </c>
      <c r="H13">
        <v>1</v>
      </c>
      <c r="I13">
        <f>_xlfn.XLOOKUP(G13, tablica!$R$3:$R$34, tablica!$T$3:$T$34)</f>
        <v>145</v>
      </c>
      <c r="J13">
        <f t="shared" si="0"/>
        <v>145</v>
      </c>
      <c r="K13" s="1">
        <v>43126.306944444441</v>
      </c>
      <c r="L13">
        <v>8888</v>
      </c>
      <c r="M13">
        <f>_xlfn.XLOOKUP(G13, tablica!$R$3:$R$34, tablica!$U$3:$U$34)</f>
        <v>11000269</v>
      </c>
      <c r="N13">
        <f>_xlfn.XLOOKUP(G13, tablica!$R$3:$R$34, tablica!$V$3:$V$34)</f>
        <v>363236906370</v>
      </c>
      <c r="O13">
        <v>1131980</v>
      </c>
      <c r="P13" t="s">
        <v>94</v>
      </c>
      <c r="Q13" t="s">
        <v>93</v>
      </c>
    </row>
    <row r="14" spans="1:18" x14ac:dyDescent="0.3">
      <c r="A14">
        <v>2004657439</v>
      </c>
      <c r="B14">
        <v>1</v>
      </c>
      <c r="C14">
        <v>524067707</v>
      </c>
      <c r="D14" t="s">
        <v>95</v>
      </c>
      <c r="E14" t="s">
        <v>18</v>
      </c>
      <c r="F14" t="s">
        <v>29</v>
      </c>
      <c r="G14" t="s">
        <v>30</v>
      </c>
      <c r="H14">
        <v>10</v>
      </c>
      <c r="I14">
        <f>_xlfn.XLOOKUP(G14, tablica!$R$3:$R$34, tablica!$T$3:$T$34)</f>
        <v>156</v>
      </c>
      <c r="J14">
        <f t="shared" si="0"/>
        <v>1560</v>
      </c>
      <c r="K14" s="1">
        <v>43127.366666666669</v>
      </c>
      <c r="L14">
        <v>8888</v>
      </c>
      <c r="M14">
        <f>_xlfn.XLOOKUP(G14, tablica!$R$3:$R$34, tablica!$U$3:$U$34)</f>
        <v>11000301</v>
      </c>
      <c r="N14">
        <f>_xlfn.XLOOKUP(G14, tablica!$R$3:$R$34, tablica!$V$3:$V$34)</f>
        <v>440331456754</v>
      </c>
      <c r="O14">
        <v>1131980</v>
      </c>
      <c r="P14" t="s">
        <v>94</v>
      </c>
      <c r="Q14" t="s">
        <v>93</v>
      </c>
    </row>
    <row r="15" spans="1:18" x14ac:dyDescent="0.3">
      <c r="A15">
        <v>2004657440</v>
      </c>
      <c r="B15">
        <v>1</v>
      </c>
      <c r="C15">
        <v>524067707</v>
      </c>
      <c r="D15" t="s">
        <v>95</v>
      </c>
      <c r="E15" t="s">
        <v>21</v>
      </c>
      <c r="F15" t="s">
        <v>22</v>
      </c>
      <c r="G15" t="s">
        <v>33</v>
      </c>
      <c r="H15">
        <v>1</v>
      </c>
      <c r="I15">
        <f>_xlfn.XLOOKUP(G15, tablica!$R$3:$R$34, tablica!$T$3:$T$34)</f>
        <v>145</v>
      </c>
      <c r="J15">
        <f t="shared" si="0"/>
        <v>145</v>
      </c>
      <c r="K15" s="1">
        <v>43129.49722222222</v>
      </c>
      <c r="L15">
        <v>8888</v>
      </c>
      <c r="M15">
        <f>_xlfn.XLOOKUP(G15, tablica!$R$3:$R$34, tablica!$U$3:$U$34)</f>
        <v>11000269</v>
      </c>
      <c r="N15">
        <f>_xlfn.XLOOKUP(G15, tablica!$R$3:$R$34, tablica!$V$3:$V$34)</f>
        <v>363236906370</v>
      </c>
      <c r="O15">
        <v>1131980</v>
      </c>
      <c r="P15" t="s">
        <v>94</v>
      </c>
      <c r="Q15" t="s">
        <v>93</v>
      </c>
    </row>
    <row r="16" spans="1:18" x14ac:dyDescent="0.3">
      <c r="A16">
        <v>2004657441</v>
      </c>
      <c r="B16">
        <v>1</v>
      </c>
      <c r="C16">
        <v>524068270</v>
      </c>
      <c r="D16" t="s">
        <v>95</v>
      </c>
      <c r="E16" t="s">
        <v>18</v>
      </c>
      <c r="F16" t="s">
        <v>19</v>
      </c>
      <c r="G16" t="s">
        <v>51</v>
      </c>
      <c r="H16">
        <v>1</v>
      </c>
      <c r="I16">
        <f>_xlfn.XLOOKUP(G16, tablica!$R$3:$R$34, tablica!$T$3:$T$34)</f>
        <v>99</v>
      </c>
      <c r="J16">
        <f t="shared" si="0"/>
        <v>99</v>
      </c>
      <c r="K16" s="1">
        <v>43135.413194444445</v>
      </c>
      <c r="L16">
        <v>8888</v>
      </c>
      <c r="M16">
        <f>_xlfn.XLOOKUP(G16, tablica!$R$3:$R$34, tablica!$U$3:$U$34)</f>
        <v>11000495</v>
      </c>
      <c r="N16">
        <f>_xlfn.XLOOKUP(G16, tablica!$R$3:$R$34, tablica!$V$3:$V$34)</f>
        <v>490068000560</v>
      </c>
      <c r="O16">
        <v>1131980</v>
      </c>
      <c r="P16" t="s">
        <v>94</v>
      </c>
      <c r="Q16" t="s">
        <v>93</v>
      </c>
    </row>
    <row r="17" spans="1:17" x14ac:dyDescent="0.3">
      <c r="A17">
        <v>2004657442</v>
      </c>
      <c r="B17">
        <v>1</v>
      </c>
      <c r="C17">
        <v>524068270</v>
      </c>
      <c r="D17" t="s">
        <v>95</v>
      </c>
      <c r="E17" t="s">
        <v>18</v>
      </c>
      <c r="F17" t="s">
        <v>29</v>
      </c>
      <c r="G17" t="s">
        <v>32</v>
      </c>
      <c r="H17">
        <v>10</v>
      </c>
      <c r="I17">
        <f>_xlfn.XLOOKUP(G17, tablica!$R$3:$R$34, tablica!$T$3:$T$34)</f>
        <v>217</v>
      </c>
      <c r="J17">
        <f t="shared" si="0"/>
        <v>2170</v>
      </c>
      <c r="K17" s="1">
        <v>43135.481249999997</v>
      </c>
      <c r="L17">
        <v>8888</v>
      </c>
      <c r="M17">
        <f>_xlfn.XLOOKUP(G17, tablica!$R$3:$R$34, tablica!$U$3:$U$34)</f>
        <v>11000428</v>
      </c>
      <c r="N17">
        <f>_xlfn.XLOOKUP(G17, tablica!$R$3:$R$34, tablica!$V$3:$V$34)</f>
        <v>332966150556</v>
      </c>
      <c r="O17">
        <v>1131980</v>
      </c>
      <c r="P17" t="s">
        <v>94</v>
      </c>
      <c r="Q17" t="s">
        <v>93</v>
      </c>
    </row>
    <row r="18" spans="1:17" x14ac:dyDescent="0.3">
      <c r="A18">
        <v>2004657443</v>
      </c>
      <c r="B18">
        <v>1</v>
      </c>
      <c r="C18">
        <v>524068270</v>
      </c>
      <c r="D18" t="s">
        <v>95</v>
      </c>
      <c r="E18" t="s">
        <v>18</v>
      </c>
      <c r="F18" t="s">
        <v>36</v>
      </c>
      <c r="G18" t="s">
        <v>37</v>
      </c>
      <c r="H18">
        <v>5</v>
      </c>
      <c r="I18">
        <f>_xlfn.XLOOKUP(G18, tablica!$R$3:$R$34, tablica!$T$3:$T$34)</f>
        <v>86</v>
      </c>
      <c r="J18">
        <f t="shared" si="0"/>
        <v>430</v>
      </c>
      <c r="K18" s="1">
        <v>43135.535416666666</v>
      </c>
      <c r="L18">
        <v>8888</v>
      </c>
      <c r="M18">
        <f>_xlfn.XLOOKUP(G18, tablica!$R$3:$R$34, tablica!$U$3:$U$34)</f>
        <v>11000265</v>
      </c>
      <c r="N18">
        <f>_xlfn.XLOOKUP(G18, tablica!$R$3:$R$34, tablica!$V$3:$V$34)</f>
        <v>79046819988</v>
      </c>
      <c r="O18">
        <v>1131980</v>
      </c>
      <c r="P18" t="s">
        <v>94</v>
      </c>
      <c r="Q18" t="s">
        <v>93</v>
      </c>
    </row>
    <row r="19" spans="1:17" x14ac:dyDescent="0.3">
      <c r="A19">
        <v>2004657444</v>
      </c>
      <c r="B19">
        <v>1</v>
      </c>
      <c r="C19">
        <v>524068270</v>
      </c>
      <c r="D19" t="s">
        <v>95</v>
      </c>
      <c r="E19" t="s">
        <v>21</v>
      </c>
      <c r="F19" t="s">
        <v>22</v>
      </c>
      <c r="G19" t="s">
        <v>33</v>
      </c>
      <c r="H19">
        <v>1</v>
      </c>
      <c r="I19">
        <f>_xlfn.XLOOKUP(G19, tablica!$R$3:$R$34, tablica!$T$3:$T$34)</f>
        <v>145</v>
      </c>
      <c r="J19">
        <f t="shared" si="0"/>
        <v>145</v>
      </c>
      <c r="K19" s="1">
        <v>43136.445138888892</v>
      </c>
      <c r="L19">
        <v>8888</v>
      </c>
      <c r="M19">
        <f>_xlfn.XLOOKUP(G19, tablica!$R$3:$R$34, tablica!$U$3:$U$34)</f>
        <v>11000269</v>
      </c>
      <c r="N19">
        <f>_xlfn.XLOOKUP(G19, tablica!$R$3:$R$34, tablica!$V$3:$V$34)</f>
        <v>363236906370</v>
      </c>
      <c r="O19">
        <v>1131980</v>
      </c>
      <c r="P19" t="s">
        <v>94</v>
      </c>
      <c r="Q19" t="s">
        <v>93</v>
      </c>
    </row>
    <row r="20" spans="1:17" x14ac:dyDescent="0.3">
      <c r="A20">
        <v>2004657445</v>
      </c>
      <c r="B20">
        <v>1</v>
      </c>
      <c r="C20">
        <v>524068270</v>
      </c>
      <c r="D20" t="s">
        <v>95</v>
      </c>
      <c r="E20" t="s">
        <v>18</v>
      </c>
      <c r="F20" t="s">
        <v>22</v>
      </c>
      <c r="G20" t="s">
        <v>33</v>
      </c>
      <c r="H20">
        <v>1</v>
      </c>
      <c r="I20">
        <f>_xlfn.XLOOKUP(G20, tablica!$R$3:$R$34, tablica!$T$3:$T$34)</f>
        <v>145</v>
      </c>
      <c r="J20">
        <f t="shared" si="0"/>
        <v>145</v>
      </c>
      <c r="K20" s="1">
        <v>43136.556250000001</v>
      </c>
      <c r="L20">
        <v>8888</v>
      </c>
      <c r="M20">
        <f>_xlfn.XLOOKUP(G20, tablica!$R$3:$R$34, tablica!$U$3:$U$34)</f>
        <v>11000269</v>
      </c>
      <c r="N20">
        <f>_xlfn.XLOOKUP(G20, tablica!$R$3:$R$34, tablica!$V$3:$V$34)</f>
        <v>363236906370</v>
      </c>
      <c r="O20">
        <v>1131980</v>
      </c>
      <c r="P20" t="s">
        <v>94</v>
      </c>
      <c r="Q20" t="s">
        <v>93</v>
      </c>
    </row>
    <row r="21" spans="1:17" x14ac:dyDescent="0.3">
      <c r="A21">
        <v>2004657446</v>
      </c>
      <c r="B21">
        <v>1</v>
      </c>
      <c r="C21">
        <v>524068270</v>
      </c>
      <c r="D21" t="s">
        <v>95</v>
      </c>
      <c r="E21" t="s">
        <v>18</v>
      </c>
      <c r="F21" t="s">
        <v>22</v>
      </c>
      <c r="G21" t="s">
        <v>53</v>
      </c>
      <c r="H21">
        <v>1</v>
      </c>
      <c r="I21">
        <f>_xlfn.XLOOKUP(G21, tablica!$R$3:$R$34, tablica!$T$3:$T$34)</f>
        <v>131</v>
      </c>
      <c r="J21">
        <f t="shared" si="0"/>
        <v>131</v>
      </c>
      <c r="K21" s="1">
        <v>43137.262499999997</v>
      </c>
      <c r="L21">
        <v>8888</v>
      </c>
      <c r="M21">
        <f>_xlfn.XLOOKUP(G21, tablica!$R$3:$R$34, tablica!$U$3:$U$34)</f>
        <v>11000241</v>
      </c>
      <c r="N21">
        <f>_xlfn.XLOOKUP(G21, tablica!$R$3:$R$34, tablica!$V$3:$V$34)</f>
        <v>65225337712</v>
      </c>
      <c r="O21">
        <v>1131980</v>
      </c>
      <c r="P21" t="s">
        <v>94</v>
      </c>
      <c r="Q21" t="s">
        <v>93</v>
      </c>
    </row>
    <row r="22" spans="1:17" x14ac:dyDescent="0.3">
      <c r="A22">
        <v>2004657447</v>
      </c>
      <c r="B22">
        <v>1</v>
      </c>
      <c r="C22">
        <v>524068270</v>
      </c>
      <c r="D22" t="s">
        <v>95</v>
      </c>
      <c r="E22" t="s">
        <v>21</v>
      </c>
      <c r="F22" t="s">
        <v>25</v>
      </c>
      <c r="G22" t="s">
        <v>26</v>
      </c>
      <c r="H22">
        <v>1</v>
      </c>
      <c r="I22">
        <f>_xlfn.XLOOKUP(G22, tablica!$R$3:$R$34, tablica!$T$3:$T$34)</f>
        <v>81</v>
      </c>
      <c r="J22">
        <f t="shared" si="0"/>
        <v>81</v>
      </c>
      <c r="K22" s="1">
        <v>43137.287499999999</v>
      </c>
      <c r="L22">
        <v>8888</v>
      </c>
      <c r="M22">
        <f>_xlfn.XLOOKUP(G22, tablica!$R$3:$R$34, tablica!$U$3:$U$34)</f>
        <v>11000382</v>
      </c>
      <c r="N22">
        <f>_xlfn.XLOOKUP(G22, tablica!$R$3:$R$34, tablica!$V$3:$V$34)</f>
        <v>253569993627</v>
      </c>
      <c r="O22">
        <v>1131980</v>
      </c>
      <c r="P22" t="s">
        <v>94</v>
      </c>
      <c r="Q22" t="s">
        <v>93</v>
      </c>
    </row>
    <row r="23" spans="1:17" x14ac:dyDescent="0.3">
      <c r="A23">
        <v>2004657448</v>
      </c>
      <c r="B23">
        <v>1</v>
      </c>
      <c r="C23">
        <v>524068270</v>
      </c>
      <c r="D23" t="s">
        <v>95</v>
      </c>
      <c r="E23" t="s">
        <v>21</v>
      </c>
      <c r="F23" t="s">
        <v>19</v>
      </c>
      <c r="G23" t="s">
        <v>20</v>
      </c>
      <c r="H23">
        <v>1</v>
      </c>
      <c r="I23">
        <f>_xlfn.XLOOKUP(G23, tablica!$R$3:$R$34, tablica!$T$3:$T$34)</f>
        <v>50</v>
      </c>
      <c r="J23">
        <f t="shared" si="0"/>
        <v>50</v>
      </c>
      <c r="K23" s="1">
        <v>43137.39166666667</v>
      </c>
      <c r="L23">
        <v>8888</v>
      </c>
      <c r="M23">
        <f>_xlfn.XLOOKUP(G23, tablica!$R$3:$R$34, tablica!$U$3:$U$34)</f>
        <v>11000317</v>
      </c>
      <c r="N23">
        <f>_xlfn.XLOOKUP(G23, tablica!$R$3:$R$34, tablica!$V$3:$V$34)</f>
        <v>241391757902</v>
      </c>
      <c r="O23">
        <v>1131980</v>
      </c>
      <c r="P23" t="s">
        <v>94</v>
      </c>
      <c r="Q23" t="s">
        <v>93</v>
      </c>
    </row>
    <row r="24" spans="1:17" x14ac:dyDescent="0.3">
      <c r="A24">
        <v>2004657449</v>
      </c>
      <c r="B24">
        <v>1</v>
      </c>
      <c r="C24">
        <v>524068270</v>
      </c>
      <c r="D24" t="s">
        <v>95</v>
      </c>
      <c r="E24" t="s">
        <v>18</v>
      </c>
      <c r="F24" t="s">
        <v>29</v>
      </c>
      <c r="G24" t="s">
        <v>39</v>
      </c>
      <c r="H24">
        <v>10</v>
      </c>
      <c r="I24">
        <f>_xlfn.XLOOKUP(G24, tablica!$R$3:$R$34, tablica!$T$3:$T$34)</f>
        <v>127</v>
      </c>
      <c r="J24">
        <f t="shared" si="0"/>
        <v>1270</v>
      </c>
      <c r="K24" s="1">
        <v>43138.517361111109</v>
      </c>
      <c r="L24">
        <v>8888</v>
      </c>
      <c r="M24">
        <f>_xlfn.XLOOKUP(G24, tablica!$R$3:$R$34, tablica!$U$3:$U$34)</f>
        <v>11000307</v>
      </c>
      <c r="N24">
        <f>_xlfn.XLOOKUP(G24, tablica!$R$3:$R$34, tablica!$V$3:$V$34)</f>
        <v>488714211366</v>
      </c>
      <c r="O24">
        <v>1131980</v>
      </c>
      <c r="P24" t="s">
        <v>94</v>
      </c>
      <c r="Q24" t="s">
        <v>93</v>
      </c>
    </row>
    <row r="25" spans="1:17" x14ac:dyDescent="0.3">
      <c r="A25">
        <v>2004657450</v>
      </c>
      <c r="B25">
        <v>1</v>
      </c>
      <c r="C25">
        <v>524068270</v>
      </c>
      <c r="D25" t="s">
        <v>95</v>
      </c>
      <c r="E25" t="s">
        <v>18</v>
      </c>
      <c r="F25" t="s">
        <v>29</v>
      </c>
      <c r="G25" t="s">
        <v>32</v>
      </c>
      <c r="H25">
        <v>10</v>
      </c>
      <c r="I25">
        <f>_xlfn.XLOOKUP(G25, tablica!$R$3:$R$34, tablica!$T$3:$T$34)</f>
        <v>217</v>
      </c>
      <c r="J25">
        <f t="shared" si="0"/>
        <v>2170</v>
      </c>
      <c r="K25" s="1">
        <v>43142.384722222225</v>
      </c>
      <c r="L25">
        <v>8888</v>
      </c>
      <c r="M25">
        <f>_xlfn.XLOOKUP(G25, tablica!$R$3:$R$34, tablica!$U$3:$U$34)</f>
        <v>11000428</v>
      </c>
      <c r="N25">
        <f>_xlfn.XLOOKUP(G25, tablica!$R$3:$R$34, tablica!$V$3:$V$34)</f>
        <v>332966150556</v>
      </c>
      <c r="O25">
        <v>1131980</v>
      </c>
      <c r="P25" t="s">
        <v>94</v>
      </c>
      <c r="Q25" t="s">
        <v>93</v>
      </c>
    </row>
    <row r="26" spans="1:17" x14ac:dyDescent="0.3">
      <c r="A26">
        <v>2004657451</v>
      </c>
      <c r="B26">
        <v>1</v>
      </c>
      <c r="C26">
        <v>524068270</v>
      </c>
      <c r="D26" t="s">
        <v>95</v>
      </c>
      <c r="E26" t="s">
        <v>18</v>
      </c>
      <c r="F26" t="s">
        <v>29</v>
      </c>
      <c r="G26" t="s">
        <v>30</v>
      </c>
      <c r="H26">
        <v>10</v>
      </c>
      <c r="I26">
        <f>_xlfn.XLOOKUP(G26, tablica!$R$3:$R$34, tablica!$T$3:$T$34)</f>
        <v>156</v>
      </c>
      <c r="J26">
        <f t="shared" si="0"/>
        <v>1560</v>
      </c>
      <c r="K26" s="1">
        <v>43142.384722222225</v>
      </c>
      <c r="L26">
        <v>8888</v>
      </c>
      <c r="M26">
        <f>_xlfn.XLOOKUP(G26, tablica!$R$3:$R$34, tablica!$U$3:$U$34)</f>
        <v>11000301</v>
      </c>
      <c r="N26">
        <f>_xlfn.XLOOKUP(G26, tablica!$R$3:$R$34, tablica!$V$3:$V$34)</f>
        <v>440331456754</v>
      </c>
      <c r="O26">
        <v>1131980</v>
      </c>
      <c r="P26" t="s">
        <v>94</v>
      </c>
      <c r="Q26" t="s">
        <v>93</v>
      </c>
    </row>
    <row r="27" spans="1:17" x14ac:dyDescent="0.3">
      <c r="A27">
        <v>2004657452</v>
      </c>
      <c r="B27">
        <v>1</v>
      </c>
      <c r="C27">
        <v>524068270</v>
      </c>
      <c r="D27" t="s">
        <v>95</v>
      </c>
      <c r="E27" t="s">
        <v>18</v>
      </c>
      <c r="F27" t="s">
        <v>22</v>
      </c>
      <c r="G27" t="s">
        <v>23</v>
      </c>
      <c r="H27">
        <v>1</v>
      </c>
      <c r="I27">
        <f>_xlfn.XLOOKUP(G27, tablica!$R$3:$R$34, tablica!$T$3:$T$34)</f>
        <v>169</v>
      </c>
      <c r="J27">
        <f t="shared" si="0"/>
        <v>169</v>
      </c>
      <c r="K27" s="1">
        <v>43143.539583333331</v>
      </c>
      <c r="L27">
        <v>8888</v>
      </c>
      <c r="M27">
        <f>_xlfn.XLOOKUP(G27, tablica!$R$3:$R$34, tablica!$U$3:$U$34)</f>
        <v>11000412</v>
      </c>
      <c r="N27">
        <f>_xlfn.XLOOKUP(G27, tablica!$R$3:$R$34, tablica!$V$3:$V$34)</f>
        <v>176527023908</v>
      </c>
      <c r="O27">
        <v>1131980</v>
      </c>
      <c r="P27" t="s">
        <v>94</v>
      </c>
      <c r="Q27" t="s">
        <v>93</v>
      </c>
    </row>
    <row r="28" spans="1:17" x14ac:dyDescent="0.3">
      <c r="A28">
        <v>2004657453</v>
      </c>
      <c r="B28">
        <v>1</v>
      </c>
      <c r="C28">
        <v>524068270</v>
      </c>
      <c r="D28" t="s">
        <v>95</v>
      </c>
      <c r="E28" t="s">
        <v>21</v>
      </c>
      <c r="F28" t="s">
        <v>19</v>
      </c>
      <c r="G28" t="s">
        <v>20</v>
      </c>
      <c r="H28">
        <v>1</v>
      </c>
      <c r="I28">
        <f>_xlfn.XLOOKUP(G28, tablica!$R$3:$R$34, tablica!$T$3:$T$34)</f>
        <v>50</v>
      </c>
      <c r="J28">
        <f t="shared" si="0"/>
        <v>50</v>
      </c>
      <c r="K28" s="1">
        <v>43143.540277777778</v>
      </c>
      <c r="L28">
        <v>8888</v>
      </c>
      <c r="M28">
        <f>_xlfn.XLOOKUP(G28, tablica!$R$3:$R$34, tablica!$U$3:$U$34)</f>
        <v>11000317</v>
      </c>
      <c r="N28">
        <f>_xlfn.XLOOKUP(G28, tablica!$R$3:$R$34, tablica!$V$3:$V$34)</f>
        <v>241391757902</v>
      </c>
      <c r="O28">
        <v>1131980</v>
      </c>
      <c r="P28" t="s">
        <v>94</v>
      </c>
      <c r="Q28" t="s">
        <v>93</v>
      </c>
    </row>
    <row r="29" spans="1:17" x14ac:dyDescent="0.3">
      <c r="A29">
        <v>2004657454</v>
      </c>
      <c r="B29">
        <v>1</v>
      </c>
      <c r="C29">
        <v>524068270</v>
      </c>
      <c r="D29" t="s">
        <v>95</v>
      </c>
      <c r="E29" t="s">
        <v>18</v>
      </c>
      <c r="F29" t="s">
        <v>42</v>
      </c>
      <c r="G29" t="s">
        <v>43</v>
      </c>
      <c r="H29">
        <v>1</v>
      </c>
      <c r="I29">
        <f>_xlfn.XLOOKUP(G29, tablica!$R$3:$R$34, tablica!$T$3:$T$34)</f>
        <v>51</v>
      </c>
      <c r="J29">
        <f t="shared" si="0"/>
        <v>51</v>
      </c>
      <c r="K29" s="1">
        <v>43143.540972222225</v>
      </c>
      <c r="L29">
        <v>8888</v>
      </c>
      <c r="M29">
        <f>_xlfn.XLOOKUP(G29, tablica!$R$3:$R$34, tablica!$U$3:$U$34)</f>
        <v>11000433</v>
      </c>
      <c r="N29">
        <f>_xlfn.XLOOKUP(G29, tablica!$R$3:$R$34, tablica!$V$3:$V$34)</f>
        <v>101852761344</v>
      </c>
      <c r="O29">
        <v>1131980</v>
      </c>
      <c r="P29" t="s">
        <v>94</v>
      </c>
      <c r="Q29" t="s">
        <v>93</v>
      </c>
    </row>
    <row r="30" spans="1:17" x14ac:dyDescent="0.3">
      <c r="A30">
        <v>2004657455</v>
      </c>
      <c r="B30">
        <v>1</v>
      </c>
      <c r="C30">
        <v>524068270</v>
      </c>
      <c r="D30" t="s">
        <v>95</v>
      </c>
      <c r="E30" t="s">
        <v>21</v>
      </c>
      <c r="F30" t="s">
        <v>54</v>
      </c>
      <c r="G30" t="s">
        <v>55</v>
      </c>
      <c r="H30">
        <v>1</v>
      </c>
      <c r="I30">
        <f>_xlfn.XLOOKUP(G30, tablica!$R$3:$R$34, tablica!$T$3:$T$34)</f>
        <v>271</v>
      </c>
      <c r="J30">
        <f t="shared" si="0"/>
        <v>271</v>
      </c>
      <c r="K30" s="1">
        <v>43143.540972222225</v>
      </c>
      <c r="L30">
        <v>8888</v>
      </c>
      <c r="M30">
        <f>_xlfn.XLOOKUP(G30, tablica!$R$3:$R$34, tablica!$U$3:$U$34)</f>
        <v>11000478</v>
      </c>
      <c r="N30">
        <f>_xlfn.XLOOKUP(G30, tablica!$R$3:$R$34, tablica!$V$3:$V$34)</f>
        <v>438889327432</v>
      </c>
      <c r="O30">
        <v>1131980</v>
      </c>
      <c r="P30" t="s">
        <v>94</v>
      </c>
      <c r="Q30" t="s">
        <v>93</v>
      </c>
    </row>
    <row r="31" spans="1:17" x14ac:dyDescent="0.3">
      <c r="A31">
        <v>2004657456</v>
      </c>
      <c r="B31">
        <v>1</v>
      </c>
      <c r="C31">
        <v>524068270</v>
      </c>
      <c r="D31" t="s">
        <v>95</v>
      </c>
      <c r="E31" t="s">
        <v>18</v>
      </c>
      <c r="F31" t="s">
        <v>22</v>
      </c>
      <c r="G31" t="s">
        <v>53</v>
      </c>
      <c r="H31">
        <v>1</v>
      </c>
      <c r="I31">
        <f>_xlfn.XLOOKUP(G31, tablica!$R$3:$R$34, tablica!$T$3:$T$34)</f>
        <v>131</v>
      </c>
      <c r="J31">
        <f t="shared" si="0"/>
        <v>131</v>
      </c>
      <c r="K31" s="1">
        <v>43143.541666666664</v>
      </c>
      <c r="L31">
        <v>8888</v>
      </c>
      <c r="M31">
        <f>_xlfn.XLOOKUP(G31, tablica!$R$3:$R$34, tablica!$U$3:$U$34)</f>
        <v>11000241</v>
      </c>
      <c r="N31">
        <f>_xlfn.XLOOKUP(G31, tablica!$R$3:$R$34, tablica!$V$3:$V$34)</f>
        <v>65225337712</v>
      </c>
      <c r="O31">
        <v>1131980</v>
      </c>
      <c r="P31" t="s">
        <v>94</v>
      </c>
      <c r="Q31" t="s">
        <v>93</v>
      </c>
    </row>
    <row r="32" spans="1:17" x14ac:dyDescent="0.3">
      <c r="A32">
        <v>2004657457</v>
      </c>
      <c r="B32">
        <v>1</v>
      </c>
      <c r="C32">
        <v>524068270</v>
      </c>
      <c r="D32" t="s">
        <v>95</v>
      </c>
      <c r="E32" t="s">
        <v>18</v>
      </c>
      <c r="F32" t="s">
        <v>19</v>
      </c>
      <c r="G32" t="s">
        <v>58</v>
      </c>
      <c r="H32">
        <v>1</v>
      </c>
      <c r="I32">
        <f>_xlfn.XLOOKUP(G32, tablica!$R$3:$R$34, tablica!$T$3:$T$34)</f>
        <v>107</v>
      </c>
      <c r="J32">
        <f t="shared" si="0"/>
        <v>107</v>
      </c>
      <c r="K32" s="1">
        <v>43144.352777777778</v>
      </c>
      <c r="L32">
        <v>8888</v>
      </c>
      <c r="M32">
        <f>_xlfn.XLOOKUP(G32, tablica!$R$3:$R$34, tablica!$U$3:$U$34)</f>
        <v>11000217</v>
      </c>
      <c r="N32">
        <f>_xlfn.XLOOKUP(G32, tablica!$R$3:$R$34, tablica!$V$3:$V$34)</f>
        <v>369830830390</v>
      </c>
      <c r="O32">
        <v>1131980</v>
      </c>
      <c r="P32" t="s">
        <v>94</v>
      </c>
      <c r="Q32" t="s">
        <v>93</v>
      </c>
    </row>
    <row r="33" spans="1:17" x14ac:dyDescent="0.3">
      <c r="A33">
        <v>2004657458</v>
      </c>
      <c r="B33">
        <v>1</v>
      </c>
      <c r="C33">
        <v>524068270</v>
      </c>
      <c r="D33" t="s">
        <v>95</v>
      </c>
      <c r="E33" t="s">
        <v>18</v>
      </c>
      <c r="F33" t="s">
        <v>36</v>
      </c>
      <c r="G33" t="s">
        <v>37</v>
      </c>
      <c r="H33">
        <v>5</v>
      </c>
      <c r="I33">
        <f>_xlfn.XLOOKUP(G33, tablica!$R$3:$R$34, tablica!$T$3:$T$34)</f>
        <v>86</v>
      </c>
      <c r="J33">
        <f t="shared" si="0"/>
        <v>430</v>
      </c>
      <c r="K33" s="1">
        <v>43149.382638888892</v>
      </c>
      <c r="L33">
        <v>8888</v>
      </c>
      <c r="M33">
        <f>_xlfn.XLOOKUP(G33, tablica!$R$3:$R$34, tablica!$U$3:$U$34)</f>
        <v>11000265</v>
      </c>
      <c r="N33">
        <f>_xlfn.XLOOKUP(G33, tablica!$R$3:$R$34, tablica!$V$3:$V$34)</f>
        <v>79046819988</v>
      </c>
      <c r="O33">
        <v>1131980</v>
      </c>
      <c r="P33" t="s">
        <v>94</v>
      </c>
      <c r="Q33" t="s">
        <v>93</v>
      </c>
    </row>
    <row r="34" spans="1:17" x14ac:dyDescent="0.3">
      <c r="A34">
        <v>2004657459</v>
      </c>
      <c r="B34">
        <v>1</v>
      </c>
      <c r="C34">
        <v>524068270</v>
      </c>
      <c r="D34" t="s">
        <v>95</v>
      </c>
      <c r="E34" t="s">
        <v>18</v>
      </c>
      <c r="F34" t="s">
        <v>22</v>
      </c>
      <c r="G34" t="s">
        <v>60</v>
      </c>
      <c r="H34">
        <v>1</v>
      </c>
      <c r="I34">
        <f>_xlfn.XLOOKUP(G34, tablica!$R$3:$R$34, tablica!$T$3:$T$34)</f>
        <v>151</v>
      </c>
      <c r="J34">
        <f t="shared" si="0"/>
        <v>151</v>
      </c>
      <c r="K34" s="1">
        <v>43149.464583333334</v>
      </c>
      <c r="L34">
        <v>8888</v>
      </c>
      <c r="M34">
        <f>_xlfn.XLOOKUP(G34, tablica!$R$3:$R$34, tablica!$U$3:$U$34)</f>
        <v>11000217</v>
      </c>
      <c r="N34">
        <f>_xlfn.XLOOKUP(G34, tablica!$R$3:$R$34, tablica!$V$3:$V$34)</f>
        <v>248226542077</v>
      </c>
      <c r="O34">
        <v>1131980</v>
      </c>
      <c r="P34" t="s">
        <v>94</v>
      </c>
      <c r="Q34" t="s">
        <v>93</v>
      </c>
    </row>
    <row r="35" spans="1:17" x14ac:dyDescent="0.3">
      <c r="A35">
        <v>2004657460</v>
      </c>
      <c r="B35">
        <v>1</v>
      </c>
      <c r="C35">
        <v>524068270</v>
      </c>
      <c r="D35" t="s">
        <v>95</v>
      </c>
      <c r="E35" t="s">
        <v>18</v>
      </c>
      <c r="F35" t="s">
        <v>42</v>
      </c>
      <c r="G35" t="s">
        <v>44</v>
      </c>
      <c r="H35">
        <v>1</v>
      </c>
      <c r="I35">
        <f>_xlfn.XLOOKUP(G35, tablica!$R$3:$R$34, tablica!$T$3:$T$34)</f>
        <v>165</v>
      </c>
      <c r="J35">
        <f t="shared" si="0"/>
        <v>165</v>
      </c>
      <c r="K35" s="1">
        <v>43151.540277777778</v>
      </c>
      <c r="L35">
        <v>8888</v>
      </c>
      <c r="M35">
        <f>_xlfn.XLOOKUP(G35, tablica!$R$3:$R$34, tablica!$U$3:$U$34)</f>
        <v>11000409</v>
      </c>
      <c r="N35">
        <f>_xlfn.XLOOKUP(G35, tablica!$R$3:$R$34, tablica!$V$3:$V$34)</f>
        <v>490310551016</v>
      </c>
      <c r="O35">
        <v>1131980</v>
      </c>
      <c r="P35" t="s">
        <v>94</v>
      </c>
      <c r="Q35" t="s">
        <v>93</v>
      </c>
    </row>
    <row r="36" spans="1:17" x14ac:dyDescent="0.3">
      <c r="A36">
        <v>2004657461</v>
      </c>
      <c r="B36">
        <v>1</v>
      </c>
      <c r="C36">
        <v>524068270</v>
      </c>
      <c r="D36" t="s">
        <v>95</v>
      </c>
      <c r="E36" t="s">
        <v>18</v>
      </c>
      <c r="F36" t="s">
        <v>19</v>
      </c>
      <c r="G36" t="s">
        <v>46</v>
      </c>
      <c r="H36">
        <v>1</v>
      </c>
      <c r="I36">
        <f>_xlfn.XLOOKUP(G36, tablica!$R$3:$R$34, tablica!$T$3:$T$34)</f>
        <v>259</v>
      </c>
      <c r="J36">
        <f t="shared" si="0"/>
        <v>259</v>
      </c>
      <c r="K36" s="1">
        <v>43151.540972222225</v>
      </c>
      <c r="L36">
        <v>8888</v>
      </c>
      <c r="M36">
        <f>_xlfn.XLOOKUP(G36, tablica!$R$3:$R$34, tablica!$U$3:$U$34)</f>
        <v>11000444</v>
      </c>
      <c r="N36">
        <f>_xlfn.XLOOKUP(G36, tablica!$R$3:$R$34, tablica!$V$3:$V$34)</f>
        <v>244057088175</v>
      </c>
      <c r="O36">
        <v>1131980</v>
      </c>
      <c r="P36" t="s">
        <v>94</v>
      </c>
      <c r="Q36" t="s">
        <v>93</v>
      </c>
    </row>
    <row r="37" spans="1:17" x14ac:dyDescent="0.3">
      <c r="A37">
        <v>2004657462</v>
      </c>
      <c r="B37">
        <v>1</v>
      </c>
      <c r="C37">
        <v>524068270</v>
      </c>
      <c r="D37" t="s">
        <v>95</v>
      </c>
      <c r="E37" t="s">
        <v>18</v>
      </c>
      <c r="F37" t="s">
        <v>29</v>
      </c>
      <c r="G37" t="s">
        <v>61</v>
      </c>
      <c r="H37">
        <v>10</v>
      </c>
      <c r="I37">
        <f>_xlfn.XLOOKUP(G37, tablica!$R$3:$R$34, tablica!$T$3:$T$34)</f>
        <v>220</v>
      </c>
      <c r="J37">
        <f t="shared" si="0"/>
        <v>2200</v>
      </c>
      <c r="K37" s="1">
        <v>43152.289583333331</v>
      </c>
      <c r="L37">
        <v>8888</v>
      </c>
      <c r="M37">
        <f>_xlfn.XLOOKUP(G37, tablica!$R$3:$R$34, tablica!$U$3:$U$34)</f>
        <v>11000256</v>
      </c>
      <c r="N37">
        <f>_xlfn.XLOOKUP(G37, tablica!$R$3:$R$34, tablica!$V$3:$V$34)</f>
        <v>385416301012</v>
      </c>
      <c r="O37">
        <v>1131980</v>
      </c>
      <c r="P37" t="s">
        <v>94</v>
      </c>
      <c r="Q37" t="s">
        <v>93</v>
      </c>
    </row>
    <row r="38" spans="1:17" x14ac:dyDescent="0.3">
      <c r="A38">
        <v>2004657463</v>
      </c>
      <c r="B38">
        <v>1</v>
      </c>
      <c r="C38">
        <v>524068270</v>
      </c>
      <c r="D38" t="s">
        <v>95</v>
      </c>
      <c r="E38" t="s">
        <v>18</v>
      </c>
      <c r="F38" t="s">
        <v>29</v>
      </c>
      <c r="G38" t="s">
        <v>30</v>
      </c>
      <c r="H38">
        <v>10</v>
      </c>
      <c r="I38">
        <f>_xlfn.XLOOKUP(G38, tablica!$R$3:$R$34, tablica!$T$3:$T$34)</f>
        <v>156</v>
      </c>
      <c r="J38">
        <f t="shared" si="0"/>
        <v>1560</v>
      </c>
      <c r="K38" s="1">
        <v>43152.411111111112</v>
      </c>
      <c r="L38">
        <v>8888</v>
      </c>
      <c r="M38">
        <f>_xlfn.XLOOKUP(G38, tablica!$R$3:$R$34, tablica!$U$3:$U$34)</f>
        <v>11000301</v>
      </c>
      <c r="N38">
        <f>_xlfn.XLOOKUP(G38, tablica!$R$3:$R$34, tablica!$V$3:$V$34)</f>
        <v>440331456754</v>
      </c>
      <c r="O38">
        <v>1131980</v>
      </c>
      <c r="P38" t="s">
        <v>94</v>
      </c>
      <c r="Q38" t="s">
        <v>93</v>
      </c>
    </row>
    <row r="39" spans="1:17" x14ac:dyDescent="0.3">
      <c r="A39">
        <v>2004657464</v>
      </c>
      <c r="B39">
        <v>1</v>
      </c>
      <c r="C39">
        <v>524068270</v>
      </c>
      <c r="D39" t="s">
        <v>95</v>
      </c>
      <c r="E39" t="s">
        <v>18</v>
      </c>
      <c r="F39" t="s">
        <v>29</v>
      </c>
      <c r="G39" t="s">
        <v>30</v>
      </c>
      <c r="H39">
        <v>10</v>
      </c>
      <c r="I39">
        <f>_xlfn.XLOOKUP(G39, tablica!$R$3:$R$34, tablica!$T$3:$T$34)</f>
        <v>156</v>
      </c>
      <c r="J39">
        <f t="shared" si="0"/>
        <v>1560</v>
      </c>
      <c r="K39" s="1">
        <v>43152.412499999999</v>
      </c>
      <c r="L39">
        <v>8888</v>
      </c>
      <c r="M39">
        <f>_xlfn.XLOOKUP(G39, tablica!$R$3:$R$34, tablica!$U$3:$U$34)</f>
        <v>11000301</v>
      </c>
      <c r="N39">
        <f>_xlfn.XLOOKUP(G39, tablica!$R$3:$R$34, tablica!$V$3:$V$34)</f>
        <v>440331456754</v>
      </c>
      <c r="O39">
        <v>1131980</v>
      </c>
      <c r="P39" t="s">
        <v>94</v>
      </c>
      <c r="Q39" t="s">
        <v>93</v>
      </c>
    </row>
    <row r="40" spans="1:17" x14ac:dyDescent="0.3">
      <c r="A40">
        <v>2004657465</v>
      </c>
      <c r="B40">
        <v>1</v>
      </c>
      <c r="C40">
        <v>524068270</v>
      </c>
      <c r="D40" t="s">
        <v>95</v>
      </c>
      <c r="E40" t="s">
        <v>18</v>
      </c>
      <c r="F40" t="s">
        <v>29</v>
      </c>
      <c r="G40" t="s">
        <v>41</v>
      </c>
      <c r="H40">
        <v>10</v>
      </c>
      <c r="I40">
        <f>_xlfn.XLOOKUP(G40, tablica!$R$3:$R$34, tablica!$T$3:$T$34)</f>
        <v>208</v>
      </c>
      <c r="J40">
        <f t="shared" si="0"/>
        <v>2080</v>
      </c>
      <c r="K40" s="1">
        <v>43152.418055555558</v>
      </c>
      <c r="L40">
        <v>8888</v>
      </c>
      <c r="M40">
        <f>_xlfn.XLOOKUP(G40, tablica!$R$3:$R$34, tablica!$U$3:$U$34)</f>
        <v>11000364</v>
      </c>
      <c r="N40">
        <f>_xlfn.XLOOKUP(G40, tablica!$R$3:$R$34, tablica!$V$3:$V$34)</f>
        <v>437465821622</v>
      </c>
      <c r="O40">
        <v>1131980</v>
      </c>
      <c r="P40" t="s">
        <v>94</v>
      </c>
      <c r="Q40" t="s">
        <v>93</v>
      </c>
    </row>
    <row r="41" spans="1:17" x14ac:dyDescent="0.3">
      <c r="A41">
        <v>2004657466</v>
      </c>
      <c r="B41">
        <v>1</v>
      </c>
      <c r="C41">
        <v>524068270</v>
      </c>
      <c r="D41" t="s">
        <v>95</v>
      </c>
      <c r="E41" t="s">
        <v>18</v>
      </c>
      <c r="F41" t="s">
        <v>29</v>
      </c>
      <c r="G41" t="s">
        <v>32</v>
      </c>
      <c r="H41">
        <v>10</v>
      </c>
      <c r="I41">
        <f>_xlfn.XLOOKUP(G41, tablica!$R$3:$R$34, tablica!$T$3:$T$34)</f>
        <v>217</v>
      </c>
      <c r="J41">
        <f t="shared" si="0"/>
        <v>2170</v>
      </c>
      <c r="K41" s="1">
        <v>43152.430555555555</v>
      </c>
      <c r="L41">
        <v>8888</v>
      </c>
      <c r="M41">
        <f>_xlfn.XLOOKUP(G41, tablica!$R$3:$R$34, tablica!$U$3:$U$34)</f>
        <v>11000428</v>
      </c>
      <c r="N41">
        <f>_xlfn.XLOOKUP(G41, tablica!$R$3:$R$34, tablica!$V$3:$V$34)</f>
        <v>332966150556</v>
      </c>
      <c r="O41">
        <v>1131980</v>
      </c>
      <c r="P41" t="s">
        <v>94</v>
      </c>
      <c r="Q41" t="s">
        <v>93</v>
      </c>
    </row>
    <row r="42" spans="1:17" x14ac:dyDescent="0.3">
      <c r="A42">
        <v>2004657467</v>
      </c>
      <c r="B42">
        <v>1</v>
      </c>
      <c r="C42">
        <v>524068270</v>
      </c>
      <c r="D42" t="s">
        <v>95</v>
      </c>
      <c r="E42" t="s">
        <v>18</v>
      </c>
      <c r="F42" t="s">
        <v>62</v>
      </c>
      <c r="G42" t="s">
        <v>63</v>
      </c>
      <c r="H42">
        <v>1</v>
      </c>
      <c r="I42">
        <f>_xlfn.XLOOKUP(G42, tablica!$R$3:$R$34, tablica!$T$3:$T$34)</f>
        <v>180</v>
      </c>
      <c r="J42">
        <f t="shared" si="0"/>
        <v>180</v>
      </c>
      <c r="K42" s="1">
        <v>43152.435416666667</v>
      </c>
      <c r="L42">
        <v>8888</v>
      </c>
      <c r="M42">
        <f>_xlfn.XLOOKUP(G42, tablica!$R$3:$R$34, tablica!$U$3:$U$34)</f>
        <v>11000309</v>
      </c>
      <c r="N42">
        <f>_xlfn.XLOOKUP(G42, tablica!$R$3:$R$34, tablica!$V$3:$V$34)</f>
        <v>288924799473</v>
      </c>
      <c r="O42">
        <v>1131980</v>
      </c>
      <c r="P42" t="s">
        <v>94</v>
      </c>
      <c r="Q42" t="s">
        <v>93</v>
      </c>
    </row>
    <row r="43" spans="1:17" x14ac:dyDescent="0.3">
      <c r="A43">
        <v>2004657468</v>
      </c>
      <c r="B43">
        <v>1</v>
      </c>
      <c r="C43">
        <v>524068270</v>
      </c>
      <c r="D43" t="s">
        <v>95</v>
      </c>
      <c r="E43" t="s">
        <v>21</v>
      </c>
      <c r="F43" t="s">
        <v>22</v>
      </c>
      <c r="G43" t="s">
        <v>33</v>
      </c>
      <c r="H43">
        <v>1</v>
      </c>
      <c r="I43">
        <f>_xlfn.XLOOKUP(G43, tablica!$R$3:$R$34, tablica!$T$3:$T$34)</f>
        <v>145</v>
      </c>
      <c r="J43">
        <f t="shared" si="0"/>
        <v>145</v>
      </c>
      <c r="K43" s="1">
        <v>43152.525000000001</v>
      </c>
      <c r="L43">
        <v>8888</v>
      </c>
      <c r="M43">
        <f>_xlfn.XLOOKUP(G43, tablica!$R$3:$R$34, tablica!$U$3:$U$34)</f>
        <v>11000269</v>
      </c>
      <c r="N43">
        <f>_xlfn.XLOOKUP(G43, tablica!$R$3:$R$34, tablica!$V$3:$V$34)</f>
        <v>363236906370</v>
      </c>
      <c r="O43">
        <v>1131980</v>
      </c>
      <c r="P43" t="s">
        <v>94</v>
      </c>
      <c r="Q43" t="s">
        <v>93</v>
      </c>
    </row>
    <row r="44" spans="1:17" x14ac:dyDescent="0.3">
      <c r="A44">
        <v>2004657469</v>
      </c>
      <c r="B44">
        <v>1</v>
      </c>
      <c r="C44">
        <v>524068270</v>
      </c>
      <c r="D44" t="s">
        <v>95</v>
      </c>
      <c r="E44" t="s">
        <v>21</v>
      </c>
      <c r="F44" t="s">
        <v>22</v>
      </c>
      <c r="G44" t="s">
        <v>33</v>
      </c>
      <c r="H44">
        <v>1</v>
      </c>
      <c r="I44">
        <f>_xlfn.XLOOKUP(G44, tablica!$R$3:$R$34, tablica!$T$3:$T$34)</f>
        <v>145</v>
      </c>
      <c r="J44">
        <f t="shared" si="0"/>
        <v>145</v>
      </c>
      <c r="K44" s="1">
        <v>43155.362500000003</v>
      </c>
      <c r="L44">
        <v>8888</v>
      </c>
      <c r="M44">
        <f>_xlfn.XLOOKUP(G44, tablica!$R$3:$R$34, tablica!$U$3:$U$34)</f>
        <v>11000269</v>
      </c>
      <c r="N44">
        <f>_xlfn.XLOOKUP(G44, tablica!$R$3:$R$34, tablica!$V$3:$V$34)</f>
        <v>363236906370</v>
      </c>
      <c r="O44">
        <v>1131980</v>
      </c>
      <c r="P44" t="s">
        <v>94</v>
      </c>
      <c r="Q44" t="s">
        <v>93</v>
      </c>
    </row>
    <row r="45" spans="1:17" x14ac:dyDescent="0.3">
      <c r="A45">
        <v>2004657470</v>
      </c>
      <c r="B45">
        <v>1</v>
      </c>
      <c r="C45">
        <v>524068270</v>
      </c>
      <c r="D45" t="s">
        <v>95</v>
      </c>
      <c r="E45" t="s">
        <v>21</v>
      </c>
      <c r="F45" t="s">
        <v>22</v>
      </c>
      <c r="G45" t="s">
        <v>33</v>
      </c>
      <c r="H45">
        <v>1</v>
      </c>
      <c r="I45">
        <f>_xlfn.XLOOKUP(G45, tablica!$R$3:$R$34, tablica!$T$3:$T$34)</f>
        <v>145</v>
      </c>
      <c r="J45">
        <f t="shared" si="0"/>
        <v>145</v>
      </c>
      <c r="K45" s="1">
        <v>43156.293055555558</v>
      </c>
      <c r="L45">
        <v>8888</v>
      </c>
      <c r="M45">
        <f>_xlfn.XLOOKUP(G45, tablica!$R$3:$R$34, tablica!$U$3:$U$34)</f>
        <v>11000269</v>
      </c>
      <c r="N45">
        <f>_xlfn.XLOOKUP(G45, tablica!$R$3:$R$34, tablica!$V$3:$V$34)</f>
        <v>363236906370</v>
      </c>
      <c r="O45">
        <v>1131980</v>
      </c>
      <c r="P45" t="s">
        <v>94</v>
      </c>
      <c r="Q45" t="s">
        <v>93</v>
      </c>
    </row>
    <row r="46" spans="1:17" x14ac:dyDescent="0.3">
      <c r="A46">
        <v>2004657471</v>
      </c>
      <c r="B46">
        <v>1</v>
      </c>
      <c r="C46">
        <v>524068270</v>
      </c>
      <c r="D46" t="s">
        <v>95</v>
      </c>
      <c r="E46" t="s">
        <v>21</v>
      </c>
      <c r="F46" t="s">
        <v>22</v>
      </c>
      <c r="G46" t="s">
        <v>33</v>
      </c>
      <c r="H46">
        <v>1</v>
      </c>
      <c r="I46">
        <f>_xlfn.XLOOKUP(G46, tablica!$R$3:$R$34, tablica!$T$3:$T$34)</f>
        <v>145</v>
      </c>
      <c r="J46">
        <f t="shared" si="0"/>
        <v>145</v>
      </c>
      <c r="K46" s="1">
        <v>43156.542361111111</v>
      </c>
      <c r="L46">
        <v>8888</v>
      </c>
      <c r="M46">
        <f>_xlfn.XLOOKUP(G46, tablica!$R$3:$R$34, tablica!$U$3:$U$34)</f>
        <v>11000269</v>
      </c>
      <c r="N46">
        <f>_xlfn.XLOOKUP(G46, tablica!$R$3:$R$34, tablica!$V$3:$V$34)</f>
        <v>363236906370</v>
      </c>
      <c r="O46">
        <v>1131980</v>
      </c>
      <c r="P46" t="s">
        <v>94</v>
      </c>
      <c r="Q46" t="s">
        <v>93</v>
      </c>
    </row>
    <row r="47" spans="1:17" x14ac:dyDescent="0.3">
      <c r="A47">
        <v>2004657472</v>
      </c>
      <c r="B47">
        <v>1</v>
      </c>
      <c r="C47">
        <v>524068795</v>
      </c>
      <c r="D47" t="s">
        <v>95</v>
      </c>
      <c r="E47" t="s">
        <v>18</v>
      </c>
      <c r="F47" t="s">
        <v>29</v>
      </c>
      <c r="G47" t="s">
        <v>66</v>
      </c>
      <c r="H47">
        <v>10</v>
      </c>
      <c r="I47">
        <f>_xlfn.XLOOKUP(G47, tablica!$R$3:$R$34, tablica!$T$3:$T$34)</f>
        <v>87</v>
      </c>
      <c r="J47">
        <f t="shared" si="0"/>
        <v>870</v>
      </c>
      <c r="K47" s="1">
        <v>43162.37222222222</v>
      </c>
      <c r="L47">
        <v>8888</v>
      </c>
      <c r="M47">
        <f>_xlfn.XLOOKUP(G47, tablica!$R$3:$R$34, tablica!$U$3:$U$34)</f>
        <v>11000442</v>
      </c>
      <c r="N47">
        <f>_xlfn.XLOOKUP(G47, tablica!$R$3:$R$34, tablica!$V$3:$V$34)</f>
        <v>356319291959</v>
      </c>
      <c r="O47">
        <v>1131980</v>
      </c>
      <c r="P47" t="s">
        <v>94</v>
      </c>
      <c r="Q47" t="s">
        <v>93</v>
      </c>
    </row>
    <row r="48" spans="1:17" x14ac:dyDescent="0.3">
      <c r="A48">
        <v>2004657473</v>
      </c>
      <c r="B48">
        <v>1</v>
      </c>
      <c r="C48">
        <v>524068795</v>
      </c>
      <c r="D48" t="s">
        <v>95</v>
      </c>
      <c r="E48" t="s">
        <v>18</v>
      </c>
      <c r="F48" t="s">
        <v>29</v>
      </c>
      <c r="G48" t="s">
        <v>32</v>
      </c>
      <c r="H48">
        <v>10</v>
      </c>
      <c r="I48">
        <f>_xlfn.XLOOKUP(G48, tablica!$R$3:$R$34, tablica!$T$3:$T$34)</f>
        <v>217</v>
      </c>
      <c r="J48">
        <f t="shared" si="0"/>
        <v>2170</v>
      </c>
      <c r="K48" s="1">
        <v>43163.456250000003</v>
      </c>
      <c r="L48">
        <v>8888</v>
      </c>
      <c r="M48">
        <f>_xlfn.XLOOKUP(G48, tablica!$R$3:$R$34, tablica!$U$3:$U$34)</f>
        <v>11000428</v>
      </c>
      <c r="N48">
        <f>_xlfn.XLOOKUP(G48, tablica!$R$3:$R$34, tablica!$V$3:$V$34)</f>
        <v>332966150556</v>
      </c>
      <c r="O48">
        <v>1131980</v>
      </c>
      <c r="P48" t="s">
        <v>94</v>
      </c>
      <c r="Q48" t="s">
        <v>93</v>
      </c>
    </row>
    <row r="49" spans="1:17" x14ac:dyDescent="0.3">
      <c r="A49">
        <v>2004657474</v>
      </c>
      <c r="B49">
        <v>1</v>
      </c>
      <c r="C49">
        <v>524068795</v>
      </c>
      <c r="D49" t="s">
        <v>95</v>
      </c>
      <c r="E49" t="s">
        <v>21</v>
      </c>
      <c r="F49" t="s">
        <v>22</v>
      </c>
      <c r="G49" t="s">
        <v>23</v>
      </c>
      <c r="H49">
        <v>1</v>
      </c>
      <c r="I49">
        <f>_xlfn.XLOOKUP(G49, tablica!$R$3:$R$34, tablica!$T$3:$T$34)</f>
        <v>169</v>
      </c>
      <c r="J49">
        <f t="shared" si="0"/>
        <v>169</v>
      </c>
      <c r="K49" s="1">
        <v>43163.536111111112</v>
      </c>
      <c r="L49">
        <v>8888</v>
      </c>
      <c r="M49">
        <f>_xlfn.XLOOKUP(G49, tablica!$R$3:$R$34, tablica!$U$3:$U$34)</f>
        <v>11000412</v>
      </c>
      <c r="N49">
        <f>_xlfn.XLOOKUP(G49, tablica!$R$3:$R$34, tablica!$V$3:$V$34)</f>
        <v>176527023908</v>
      </c>
      <c r="O49">
        <v>1131980</v>
      </c>
      <c r="P49" t="s">
        <v>94</v>
      </c>
      <c r="Q49" t="s">
        <v>93</v>
      </c>
    </row>
    <row r="50" spans="1:17" x14ac:dyDescent="0.3">
      <c r="A50">
        <v>2004657475</v>
      </c>
      <c r="B50">
        <v>1</v>
      </c>
      <c r="C50">
        <v>524068795</v>
      </c>
      <c r="D50" t="s">
        <v>95</v>
      </c>
      <c r="E50" t="s">
        <v>21</v>
      </c>
      <c r="F50" t="s">
        <v>19</v>
      </c>
      <c r="G50" t="s">
        <v>20</v>
      </c>
      <c r="H50">
        <v>1</v>
      </c>
      <c r="I50">
        <f>_xlfn.XLOOKUP(G50, tablica!$R$3:$R$34, tablica!$T$3:$T$34)</f>
        <v>50</v>
      </c>
      <c r="J50">
        <f t="shared" si="0"/>
        <v>50</v>
      </c>
      <c r="K50" s="1">
        <v>43163.537499999999</v>
      </c>
      <c r="L50">
        <v>8888</v>
      </c>
      <c r="M50">
        <f>_xlfn.XLOOKUP(G50, tablica!$R$3:$R$34, tablica!$U$3:$U$34)</f>
        <v>11000317</v>
      </c>
      <c r="N50">
        <f>_xlfn.XLOOKUP(G50, tablica!$R$3:$R$34, tablica!$V$3:$V$34)</f>
        <v>241391757902</v>
      </c>
      <c r="O50">
        <v>1131980</v>
      </c>
      <c r="P50" t="s">
        <v>94</v>
      </c>
      <c r="Q50" t="s">
        <v>93</v>
      </c>
    </row>
    <row r="51" spans="1:17" x14ac:dyDescent="0.3">
      <c r="A51">
        <v>2004657476</v>
      </c>
      <c r="B51">
        <v>1</v>
      </c>
      <c r="C51">
        <v>524068795</v>
      </c>
      <c r="D51" t="s">
        <v>95</v>
      </c>
      <c r="E51" t="s">
        <v>18</v>
      </c>
      <c r="F51" t="s">
        <v>42</v>
      </c>
      <c r="G51" t="s">
        <v>43</v>
      </c>
      <c r="H51">
        <v>1</v>
      </c>
      <c r="I51">
        <f>_xlfn.XLOOKUP(G51, tablica!$R$3:$R$34, tablica!$T$3:$T$34)</f>
        <v>51</v>
      </c>
      <c r="J51">
        <f t="shared" si="0"/>
        <v>51</v>
      </c>
      <c r="K51" s="1">
        <v>43164.536111111112</v>
      </c>
      <c r="L51">
        <v>8888</v>
      </c>
      <c r="M51">
        <f>_xlfn.XLOOKUP(G51, tablica!$R$3:$R$34, tablica!$U$3:$U$34)</f>
        <v>11000433</v>
      </c>
      <c r="N51">
        <f>_xlfn.XLOOKUP(G51, tablica!$R$3:$R$34, tablica!$V$3:$V$34)</f>
        <v>101852761344</v>
      </c>
      <c r="O51">
        <v>1131980</v>
      </c>
      <c r="P51" t="s">
        <v>94</v>
      </c>
      <c r="Q51" t="s">
        <v>93</v>
      </c>
    </row>
    <row r="52" spans="1:17" x14ac:dyDescent="0.3">
      <c r="A52">
        <v>2004657477</v>
      </c>
      <c r="B52">
        <v>1</v>
      </c>
      <c r="C52">
        <v>524068795</v>
      </c>
      <c r="D52" t="s">
        <v>95</v>
      </c>
      <c r="E52" t="s">
        <v>18</v>
      </c>
      <c r="F52" t="s">
        <v>29</v>
      </c>
      <c r="G52" t="s">
        <v>39</v>
      </c>
      <c r="H52">
        <v>10</v>
      </c>
      <c r="I52">
        <f>_xlfn.XLOOKUP(G52, tablica!$R$3:$R$34, tablica!$T$3:$T$34)</f>
        <v>127</v>
      </c>
      <c r="J52">
        <f t="shared" si="0"/>
        <v>1270</v>
      </c>
      <c r="K52" s="1">
        <v>43164.572916666664</v>
      </c>
      <c r="L52">
        <v>8888</v>
      </c>
      <c r="M52">
        <f>_xlfn.XLOOKUP(G52, tablica!$R$3:$R$34, tablica!$U$3:$U$34)</f>
        <v>11000307</v>
      </c>
      <c r="N52">
        <f>_xlfn.XLOOKUP(G52, tablica!$R$3:$R$34, tablica!$V$3:$V$34)</f>
        <v>488714211366</v>
      </c>
      <c r="O52">
        <v>1131980</v>
      </c>
      <c r="P52" t="s">
        <v>94</v>
      </c>
      <c r="Q52" t="s">
        <v>93</v>
      </c>
    </row>
    <row r="53" spans="1:17" x14ac:dyDescent="0.3">
      <c r="A53">
        <v>2004657478</v>
      </c>
      <c r="B53">
        <v>1</v>
      </c>
      <c r="C53">
        <v>524068795</v>
      </c>
      <c r="D53" t="s">
        <v>95</v>
      </c>
      <c r="E53" t="s">
        <v>18</v>
      </c>
      <c r="F53" t="s">
        <v>69</v>
      </c>
      <c r="G53" t="s">
        <v>70</v>
      </c>
      <c r="H53">
        <v>1</v>
      </c>
      <c r="I53">
        <f>_xlfn.XLOOKUP(G53, tablica!$R$3:$R$34, tablica!$T$3:$T$34)</f>
        <v>149</v>
      </c>
      <c r="J53">
        <f t="shared" si="0"/>
        <v>149</v>
      </c>
      <c r="K53" s="1">
        <v>43165.365277777775</v>
      </c>
      <c r="L53">
        <v>8888</v>
      </c>
      <c r="M53">
        <f>_xlfn.XLOOKUP(G53, tablica!$R$3:$R$34, tablica!$U$3:$U$34)</f>
        <v>11000335</v>
      </c>
      <c r="N53">
        <f>_xlfn.XLOOKUP(G53, tablica!$R$3:$R$34, tablica!$V$3:$V$34)</f>
        <v>55095376362</v>
      </c>
      <c r="O53">
        <v>1131980</v>
      </c>
      <c r="P53" t="s">
        <v>94</v>
      </c>
      <c r="Q53" t="s">
        <v>93</v>
      </c>
    </row>
    <row r="54" spans="1:17" x14ac:dyDescent="0.3">
      <c r="A54">
        <v>2004657479</v>
      </c>
      <c r="B54">
        <v>1</v>
      </c>
      <c r="C54">
        <v>524068795</v>
      </c>
      <c r="D54" t="s">
        <v>95</v>
      </c>
      <c r="E54" t="s">
        <v>18</v>
      </c>
      <c r="F54" t="s">
        <v>47</v>
      </c>
      <c r="G54" t="s">
        <v>72</v>
      </c>
      <c r="H54">
        <v>10</v>
      </c>
      <c r="I54">
        <f>_xlfn.XLOOKUP(G54, tablica!$R$3:$R$34, tablica!$T$3:$T$34)</f>
        <v>78</v>
      </c>
      <c r="J54">
        <f t="shared" si="0"/>
        <v>780</v>
      </c>
      <c r="K54" s="1">
        <v>43166.34652777778</v>
      </c>
      <c r="L54">
        <v>8888</v>
      </c>
      <c r="M54">
        <f>_xlfn.XLOOKUP(G54, tablica!$R$3:$R$34, tablica!$U$3:$U$34)</f>
        <v>11000351</v>
      </c>
      <c r="N54">
        <f>_xlfn.XLOOKUP(G54, tablica!$R$3:$R$34, tablica!$V$3:$V$34)</f>
        <v>134264669804</v>
      </c>
      <c r="O54">
        <v>1131980</v>
      </c>
      <c r="P54" t="s">
        <v>94</v>
      </c>
      <c r="Q54" t="s">
        <v>93</v>
      </c>
    </row>
    <row r="55" spans="1:17" x14ac:dyDescent="0.3">
      <c r="A55">
        <v>2004657480</v>
      </c>
      <c r="B55">
        <v>1</v>
      </c>
      <c r="C55">
        <v>524068795</v>
      </c>
      <c r="D55" t="s">
        <v>95</v>
      </c>
      <c r="E55" t="s">
        <v>18</v>
      </c>
      <c r="F55" t="s">
        <v>47</v>
      </c>
      <c r="G55" t="s">
        <v>48</v>
      </c>
      <c r="H55">
        <v>10</v>
      </c>
      <c r="I55">
        <f>_xlfn.XLOOKUP(G55, tablica!$R$3:$R$34, tablica!$T$3:$T$34)</f>
        <v>59</v>
      </c>
      <c r="J55">
        <f t="shared" si="0"/>
        <v>590</v>
      </c>
      <c r="K55" s="1">
        <v>43166.347916666666</v>
      </c>
      <c r="L55">
        <v>8888</v>
      </c>
      <c r="M55">
        <f>_xlfn.XLOOKUP(G55, tablica!$R$3:$R$34, tablica!$U$3:$U$34)</f>
        <v>11000490</v>
      </c>
      <c r="N55">
        <f>_xlfn.XLOOKUP(G55, tablica!$R$3:$R$34, tablica!$V$3:$V$34)</f>
        <v>288866335589</v>
      </c>
      <c r="O55">
        <v>1131980</v>
      </c>
      <c r="P55" t="s">
        <v>94</v>
      </c>
      <c r="Q55" t="s">
        <v>93</v>
      </c>
    </row>
    <row r="56" spans="1:17" x14ac:dyDescent="0.3">
      <c r="A56">
        <v>2004657481</v>
      </c>
      <c r="B56">
        <v>1</v>
      </c>
      <c r="C56">
        <v>524068795</v>
      </c>
      <c r="D56" t="s">
        <v>95</v>
      </c>
      <c r="E56" t="s">
        <v>21</v>
      </c>
      <c r="F56" t="s">
        <v>22</v>
      </c>
      <c r="G56" t="s">
        <v>23</v>
      </c>
      <c r="H56">
        <v>1</v>
      </c>
      <c r="I56">
        <f>_xlfn.XLOOKUP(G56, tablica!$R$3:$R$34, tablica!$T$3:$T$34)</f>
        <v>169</v>
      </c>
      <c r="J56">
        <f t="shared" si="0"/>
        <v>169</v>
      </c>
      <c r="K56" s="1">
        <v>43170.339583333334</v>
      </c>
      <c r="L56">
        <v>8888</v>
      </c>
      <c r="M56">
        <f>_xlfn.XLOOKUP(G56, tablica!$R$3:$R$34, tablica!$U$3:$U$34)</f>
        <v>11000412</v>
      </c>
      <c r="N56">
        <f>_xlfn.XLOOKUP(G56, tablica!$R$3:$R$34, tablica!$V$3:$V$34)</f>
        <v>176527023908</v>
      </c>
      <c r="O56">
        <v>1131980</v>
      </c>
      <c r="P56" t="s">
        <v>94</v>
      </c>
      <c r="Q56" t="s">
        <v>93</v>
      </c>
    </row>
    <row r="57" spans="1:17" x14ac:dyDescent="0.3">
      <c r="A57">
        <v>2004657482</v>
      </c>
      <c r="B57">
        <v>1</v>
      </c>
      <c r="C57">
        <v>524068795</v>
      </c>
      <c r="D57" t="s">
        <v>95</v>
      </c>
      <c r="E57" t="s">
        <v>18</v>
      </c>
      <c r="F57" t="s">
        <v>25</v>
      </c>
      <c r="G57" t="s">
        <v>26</v>
      </c>
      <c r="H57">
        <v>1</v>
      </c>
      <c r="I57">
        <f>_xlfn.XLOOKUP(G57, tablica!$R$3:$R$34, tablica!$T$3:$T$34)</f>
        <v>81</v>
      </c>
      <c r="J57">
        <f t="shared" si="0"/>
        <v>81</v>
      </c>
      <c r="K57" s="1">
        <v>43173.368055555555</v>
      </c>
      <c r="L57">
        <v>8888</v>
      </c>
      <c r="M57">
        <f>_xlfn.XLOOKUP(G57, tablica!$R$3:$R$34, tablica!$U$3:$U$34)</f>
        <v>11000382</v>
      </c>
      <c r="N57">
        <f>_xlfn.XLOOKUP(G57, tablica!$R$3:$R$34, tablica!$V$3:$V$34)</f>
        <v>253569993627</v>
      </c>
      <c r="O57">
        <v>1131980</v>
      </c>
      <c r="P57" t="s">
        <v>94</v>
      </c>
      <c r="Q57" t="s">
        <v>93</v>
      </c>
    </row>
    <row r="58" spans="1:17" x14ac:dyDescent="0.3">
      <c r="A58">
        <v>2004657483</v>
      </c>
      <c r="B58">
        <v>1</v>
      </c>
      <c r="C58">
        <v>524068795</v>
      </c>
      <c r="D58" t="s">
        <v>95</v>
      </c>
      <c r="E58" t="s">
        <v>18</v>
      </c>
      <c r="F58" t="s">
        <v>25</v>
      </c>
      <c r="G58" t="s">
        <v>26</v>
      </c>
      <c r="H58">
        <v>1</v>
      </c>
      <c r="I58">
        <f>_xlfn.XLOOKUP(G58, tablica!$R$3:$R$34, tablica!$T$3:$T$34)</f>
        <v>81</v>
      </c>
      <c r="J58">
        <f t="shared" si="0"/>
        <v>81</v>
      </c>
      <c r="K58" s="1">
        <v>43173.368750000001</v>
      </c>
      <c r="L58">
        <v>8888</v>
      </c>
      <c r="M58">
        <f>_xlfn.XLOOKUP(G58, tablica!$R$3:$R$34, tablica!$U$3:$U$34)</f>
        <v>11000382</v>
      </c>
      <c r="N58">
        <f>_xlfn.XLOOKUP(G58, tablica!$R$3:$R$34, tablica!$V$3:$V$34)</f>
        <v>253569993627</v>
      </c>
      <c r="O58">
        <v>1131980</v>
      </c>
      <c r="P58" t="s">
        <v>94</v>
      </c>
      <c r="Q58" t="s">
        <v>93</v>
      </c>
    </row>
    <row r="59" spans="1:17" x14ac:dyDescent="0.3">
      <c r="A59">
        <v>2004657484</v>
      </c>
      <c r="B59">
        <v>1</v>
      </c>
      <c r="C59">
        <v>524068795</v>
      </c>
      <c r="D59" t="s">
        <v>95</v>
      </c>
      <c r="E59" t="s">
        <v>18</v>
      </c>
      <c r="F59" t="s">
        <v>29</v>
      </c>
      <c r="G59" t="s">
        <v>32</v>
      </c>
      <c r="H59">
        <v>10</v>
      </c>
      <c r="I59">
        <f>_xlfn.XLOOKUP(G59, tablica!$R$3:$R$34, tablica!$T$3:$T$34)</f>
        <v>217</v>
      </c>
      <c r="J59">
        <f t="shared" si="0"/>
        <v>2170</v>
      </c>
      <c r="K59" s="1">
        <v>43176.491666666669</v>
      </c>
      <c r="L59">
        <v>8888</v>
      </c>
      <c r="M59">
        <f>_xlfn.XLOOKUP(G59, tablica!$R$3:$R$34, tablica!$U$3:$U$34)</f>
        <v>11000428</v>
      </c>
      <c r="N59">
        <f>_xlfn.XLOOKUP(G59, tablica!$R$3:$R$34, tablica!$V$3:$V$34)</f>
        <v>332966150556</v>
      </c>
      <c r="O59">
        <v>1131980</v>
      </c>
      <c r="P59" t="s">
        <v>94</v>
      </c>
      <c r="Q59" t="s">
        <v>93</v>
      </c>
    </row>
    <row r="60" spans="1:17" x14ac:dyDescent="0.3">
      <c r="A60">
        <v>2004657485</v>
      </c>
      <c r="B60">
        <v>1</v>
      </c>
      <c r="C60">
        <v>524068795</v>
      </c>
      <c r="D60" t="s">
        <v>95</v>
      </c>
      <c r="E60" t="s">
        <v>18</v>
      </c>
      <c r="F60" t="s">
        <v>22</v>
      </c>
      <c r="G60" t="s">
        <v>33</v>
      </c>
      <c r="H60">
        <v>1</v>
      </c>
      <c r="I60">
        <f>_xlfn.XLOOKUP(G60, tablica!$R$3:$R$34, tablica!$T$3:$T$34)</f>
        <v>145</v>
      </c>
      <c r="J60">
        <f t="shared" si="0"/>
        <v>145</v>
      </c>
      <c r="K60" s="1">
        <v>43177.316666666666</v>
      </c>
      <c r="L60">
        <v>8888</v>
      </c>
      <c r="M60">
        <f>_xlfn.XLOOKUP(G60, tablica!$R$3:$R$34, tablica!$U$3:$U$34)</f>
        <v>11000269</v>
      </c>
      <c r="N60">
        <f>_xlfn.XLOOKUP(G60, tablica!$R$3:$R$34, tablica!$V$3:$V$34)</f>
        <v>363236906370</v>
      </c>
      <c r="O60">
        <v>1131980</v>
      </c>
      <c r="P60" t="s">
        <v>94</v>
      </c>
      <c r="Q60" t="s">
        <v>93</v>
      </c>
    </row>
    <row r="61" spans="1:17" x14ac:dyDescent="0.3">
      <c r="A61">
        <v>2004657486</v>
      </c>
      <c r="B61">
        <v>1</v>
      </c>
      <c r="C61">
        <v>524068795</v>
      </c>
      <c r="D61" t="s">
        <v>95</v>
      </c>
      <c r="E61" t="s">
        <v>21</v>
      </c>
      <c r="F61" t="s">
        <v>22</v>
      </c>
      <c r="G61" t="s">
        <v>23</v>
      </c>
      <c r="H61">
        <v>1</v>
      </c>
      <c r="I61">
        <f>_xlfn.XLOOKUP(G61, tablica!$R$3:$R$34, tablica!$T$3:$T$34)</f>
        <v>169</v>
      </c>
      <c r="J61">
        <f t="shared" si="0"/>
        <v>169</v>
      </c>
      <c r="K61" s="1">
        <v>43178.518055555556</v>
      </c>
      <c r="L61">
        <v>8888</v>
      </c>
      <c r="M61">
        <f>_xlfn.XLOOKUP(G61, tablica!$R$3:$R$34, tablica!$U$3:$U$34)</f>
        <v>11000412</v>
      </c>
      <c r="N61">
        <f>_xlfn.XLOOKUP(G61, tablica!$R$3:$R$34, tablica!$V$3:$V$34)</f>
        <v>176527023908</v>
      </c>
      <c r="O61">
        <v>1131980</v>
      </c>
      <c r="P61" t="s">
        <v>94</v>
      </c>
      <c r="Q61" t="s">
        <v>93</v>
      </c>
    </row>
    <row r="62" spans="1:17" x14ac:dyDescent="0.3">
      <c r="A62">
        <v>2004657487</v>
      </c>
      <c r="B62">
        <v>1</v>
      </c>
      <c r="C62">
        <v>524068795</v>
      </c>
      <c r="D62" t="s">
        <v>95</v>
      </c>
      <c r="E62" t="s">
        <v>21</v>
      </c>
      <c r="F62" t="s">
        <v>19</v>
      </c>
      <c r="G62" t="s">
        <v>20</v>
      </c>
      <c r="H62">
        <v>1</v>
      </c>
      <c r="I62">
        <f>_xlfn.XLOOKUP(G62, tablica!$R$3:$R$34, tablica!$T$3:$T$34)</f>
        <v>50</v>
      </c>
      <c r="J62">
        <f t="shared" si="0"/>
        <v>50</v>
      </c>
      <c r="K62" s="1">
        <v>43178.518750000003</v>
      </c>
      <c r="L62">
        <v>8888</v>
      </c>
      <c r="M62">
        <f>_xlfn.XLOOKUP(G62, tablica!$R$3:$R$34, tablica!$U$3:$U$34)</f>
        <v>11000317</v>
      </c>
      <c r="N62">
        <f>_xlfn.XLOOKUP(G62, tablica!$R$3:$R$34, tablica!$V$3:$V$34)</f>
        <v>241391757902</v>
      </c>
      <c r="O62">
        <v>1131980</v>
      </c>
      <c r="P62" t="s">
        <v>94</v>
      </c>
      <c r="Q62" t="s">
        <v>93</v>
      </c>
    </row>
    <row r="63" spans="1:17" x14ac:dyDescent="0.3">
      <c r="A63">
        <v>2004657488</v>
      </c>
      <c r="B63">
        <v>1</v>
      </c>
      <c r="C63">
        <v>524068795</v>
      </c>
      <c r="D63" t="s">
        <v>95</v>
      </c>
      <c r="E63" t="s">
        <v>18</v>
      </c>
      <c r="F63" t="s">
        <v>25</v>
      </c>
      <c r="G63" t="s">
        <v>26</v>
      </c>
      <c r="H63">
        <v>1</v>
      </c>
      <c r="I63">
        <f>_xlfn.XLOOKUP(G63, tablica!$R$3:$R$34, tablica!$T$3:$T$34)</f>
        <v>81</v>
      </c>
      <c r="J63">
        <f t="shared" si="0"/>
        <v>81</v>
      </c>
      <c r="K63" s="1">
        <v>43179.272222222222</v>
      </c>
      <c r="L63">
        <v>8888</v>
      </c>
      <c r="M63">
        <f>_xlfn.XLOOKUP(G63, tablica!$R$3:$R$34, tablica!$U$3:$U$34)</f>
        <v>11000382</v>
      </c>
      <c r="N63">
        <f>_xlfn.XLOOKUP(G63, tablica!$R$3:$R$34, tablica!$V$3:$V$34)</f>
        <v>253569993627</v>
      </c>
      <c r="O63">
        <v>1131980</v>
      </c>
      <c r="P63" t="s">
        <v>94</v>
      </c>
      <c r="Q63" t="s">
        <v>93</v>
      </c>
    </row>
    <row r="64" spans="1:17" x14ac:dyDescent="0.3">
      <c r="A64">
        <v>2004657489</v>
      </c>
      <c r="B64">
        <v>1</v>
      </c>
      <c r="C64">
        <v>524068795</v>
      </c>
      <c r="D64" t="s">
        <v>95</v>
      </c>
      <c r="E64" t="s">
        <v>18</v>
      </c>
      <c r="F64" t="s">
        <v>29</v>
      </c>
      <c r="G64" t="s">
        <v>32</v>
      </c>
      <c r="H64">
        <v>10</v>
      </c>
      <c r="I64">
        <f>_xlfn.XLOOKUP(G64, tablica!$R$3:$R$34, tablica!$T$3:$T$34)</f>
        <v>217</v>
      </c>
      <c r="J64">
        <f t="shared" si="0"/>
        <v>2170</v>
      </c>
      <c r="K64" s="1">
        <v>43187.723611111112</v>
      </c>
      <c r="L64">
        <v>8888</v>
      </c>
      <c r="M64">
        <f>_xlfn.XLOOKUP(G64, tablica!$R$3:$R$34, tablica!$U$3:$U$34)</f>
        <v>11000428</v>
      </c>
      <c r="N64">
        <f>_xlfn.XLOOKUP(G64, tablica!$R$3:$R$34, tablica!$V$3:$V$34)</f>
        <v>332966150556</v>
      </c>
      <c r="O64">
        <v>1131980</v>
      </c>
      <c r="P64" t="s">
        <v>94</v>
      </c>
      <c r="Q64" t="s">
        <v>93</v>
      </c>
    </row>
    <row r="65" spans="1:17" x14ac:dyDescent="0.3">
      <c r="A65">
        <v>2004657490</v>
      </c>
      <c r="B65">
        <v>1</v>
      </c>
      <c r="C65">
        <v>524068795</v>
      </c>
      <c r="D65" t="s">
        <v>95</v>
      </c>
      <c r="E65" t="s">
        <v>18</v>
      </c>
      <c r="F65" t="s">
        <v>36</v>
      </c>
      <c r="G65" t="s">
        <v>37</v>
      </c>
      <c r="H65">
        <v>5</v>
      </c>
      <c r="I65">
        <f>_xlfn.XLOOKUP(G65, tablica!$R$3:$R$34, tablica!$T$3:$T$34)</f>
        <v>86</v>
      </c>
      <c r="J65">
        <f t="shared" si="0"/>
        <v>430</v>
      </c>
      <c r="K65" s="1">
        <v>43190.260416666664</v>
      </c>
      <c r="L65">
        <v>8888</v>
      </c>
      <c r="M65">
        <f>_xlfn.XLOOKUP(G65, tablica!$R$3:$R$34, tablica!$U$3:$U$34)</f>
        <v>11000265</v>
      </c>
      <c r="N65">
        <f>_xlfn.XLOOKUP(G65, tablica!$R$3:$R$34, tablica!$V$3:$V$34)</f>
        <v>79046819988</v>
      </c>
      <c r="O65">
        <v>1131980</v>
      </c>
      <c r="P65" t="s">
        <v>94</v>
      </c>
      <c r="Q65" t="s">
        <v>93</v>
      </c>
    </row>
    <row r="66" spans="1:17" x14ac:dyDescent="0.3">
      <c r="A66">
        <v>2004657491</v>
      </c>
      <c r="B66">
        <v>1</v>
      </c>
      <c r="C66">
        <v>524069811</v>
      </c>
      <c r="D66" t="s">
        <v>95</v>
      </c>
      <c r="E66" t="s">
        <v>21</v>
      </c>
      <c r="F66" t="s">
        <v>19</v>
      </c>
      <c r="G66" t="s">
        <v>51</v>
      </c>
      <c r="H66">
        <v>1</v>
      </c>
      <c r="I66">
        <f>_xlfn.XLOOKUP(G66, tablica!$R$3:$R$34, tablica!$T$3:$T$34)</f>
        <v>99</v>
      </c>
      <c r="J66">
        <f t="shared" ref="J66:J129" si="1">H66*I66</f>
        <v>99</v>
      </c>
      <c r="K66" s="1">
        <v>43250.459722222222</v>
      </c>
      <c r="L66">
        <v>8888</v>
      </c>
      <c r="M66">
        <f>_xlfn.XLOOKUP(G66, tablica!$R$3:$R$34, tablica!$U$3:$U$34)</f>
        <v>11000495</v>
      </c>
      <c r="N66">
        <f>_xlfn.XLOOKUP(G66, tablica!$R$3:$R$34, tablica!$V$3:$V$34)</f>
        <v>490068000560</v>
      </c>
      <c r="O66">
        <v>1131980</v>
      </c>
      <c r="P66" t="s">
        <v>94</v>
      </c>
      <c r="Q66" t="s">
        <v>93</v>
      </c>
    </row>
    <row r="67" spans="1:17" x14ac:dyDescent="0.3">
      <c r="A67">
        <v>2004657492</v>
      </c>
      <c r="B67">
        <v>1</v>
      </c>
      <c r="C67">
        <v>524070308</v>
      </c>
      <c r="D67" t="s">
        <v>95</v>
      </c>
      <c r="E67" t="s">
        <v>18</v>
      </c>
      <c r="F67" t="s">
        <v>19</v>
      </c>
      <c r="G67" t="s">
        <v>20</v>
      </c>
      <c r="H67">
        <v>1</v>
      </c>
      <c r="I67">
        <f>_xlfn.XLOOKUP(G67, tablica!$R$3:$R$34, tablica!$T$3:$T$34)</f>
        <v>50</v>
      </c>
      <c r="J67">
        <f t="shared" si="1"/>
        <v>50</v>
      </c>
      <c r="K67" s="1">
        <v>43261.676388888889</v>
      </c>
      <c r="L67">
        <v>8888</v>
      </c>
      <c r="M67">
        <f>_xlfn.XLOOKUP(G67, tablica!$R$3:$R$34, tablica!$U$3:$U$34)</f>
        <v>11000317</v>
      </c>
      <c r="N67">
        <f>_xlfn.XLOOKUP(G67, tablica!$R$3:$R$34, tablica!$V$3:$V$34)</f>
        <v>241391757902</v>
      </c>
      <c r="O67">
        <v>1131980</v>
      </c>
      <c r="P67" t="s">
        <v>94</v>
      </c>
      <c r="Q67" t="s">
        <v>93</v>
      </c>
    </row>
    <row r="68" spans="1:17" x14ac:dyDescent="0.3">
      <c r="A68">
        <v>2004657493</v>
      </c>
      <c r="B68">
        <v>1</v>
      </c>
      <c r="C68">
        <v>524070308</v>
      </c>
      <c r="D68" t="s">
        <v>95</v>
      </c>
      <c r="E68" t="s">
        <v>21</v>
      </c>
      <c r="F68" t="s">
        <v>22</v>
      </c>
      <c r="G68" t="s">
        <v>23</v>
      </c>
      <c r="H68">
        <v>1</v>
      </c>
      <c r="I68">
        <f>_xlfn.XLOOKUP(G68, tablica!$R$3:$R$34, tablica!$T$3:$T$34)</f>
        <v>169</v>
      </c>
      <c r="J68">
        <f t="shared" si="1"/>
        <v>169</v>
      </c>
      <c r="K68" s="1">
        <v>43262.281944444447</v>
      </c>
      <c r="L68">
        <v>8888</v>
      </c>
      <c r="M68">
        <f>_xlfn.XLOOKUP(G68, tablica!$R$3:$R$34, tablica!$U$3:$U$34)</f>
        <v>11000412</v>
      </c>
      <c r="N68">
        <f>_xlfn.XLOOKUP(G68, tablica!$R$3:$R$34, tablica!$V$3:$V$34)</f>
        <v>176527023908</v>
      </c>
      <c r="O68">
        <v>1131980</v>
      </c>
      <c r="P68" t="s">
        <v>94</v>
      </c>
      <c r="Q68" t="s">
        <v>93</v>
      </c>
    </row>
    <row r="69" spans="1:17" x14ac:dyDescent="0.3">
      <c r="A69">
        <v>2004657494</v>
      </c>
      <c r="B69">
        <v>1</v>
      </c>
      <c r="C69">
        <v>524070308</v>
      </c>
      <c r="D69" t="s">
        <v>95</v>
      </c>
      <c r="E69" t="s">
        <v>21</v>
      </c>
      <c r="F69" t="s">
        <v>22</v>
      </c>
      <c r="G69" t="s">
        <v>23</v>
      </c>
      <c r="H69">
        <v>1</v>
      </c>
      <c r="I69">
        <f>_xlfn.XLOOKUP(G69, tablica!$R$3:$R$34, tablica!$T$3:$T$34)</f>
        <v>169</v>
      </c>
      <c r="J69">
        <f t="shared" si="1"/>
        <v>169</v>
      </c>
      <c r="K69" s="1">
        <v>43262.382638888892</v>
      </c>
      <c r="L69">
        <v>8888</v>
      </c>
      <c r="M69">
        <f>_xlfn.XLOOKUP(G69, tablica!$R$3:$R$34, tablica!$U$3:$U$34)</f>
        <v>11000412</v>
      </c>
      <c r="N69">
        <f>_xlfn.XLOOKUP(G69, tablica!$R$3:$R$34, tablica!$V$3:$V$34)</f>
        <v>176527023908</v>
      </c>
      <c r="O69">
        <v>1131980</v>
      </c>
      <c r="P69" t="s">
        <v>94</v>
      </c>
      <c r="Q69" t="s">
        <v>93</v>
      </c>
    </row>
    <row r="70" spans="1:17" x14ac:dyDescent="0.3">
      <c r="A70">
        <v>2004657495</v>
      </c>
      <c r="B70">
        <v>1</v>
      </c>
      <c r="C70">
        <v>524070308</v>
      </c>
      <c r="D70" t="s">
        <v>95</v>
      </c>
      <c r="E70" t="s">
        <v>18</v>
      </c>
      <c r="F70" t="s">
        <v>19</v>
      </c>
      <c r="G70" t="s">
        <v>20</v>
      </c>
      <c r="H70">
        <v>1</v>
      </c>
      <c r="I70">
        <f>_xlfn.XLOOKUP(G70, tablica!$R$3:$R$34, tablica!$T$3:$T$34)</f>
        <v>50</v>
      </c>
      <c r="J70">
        <f t="shared" si="1"/>
        <v>50</v>
      </c>
      <c r="K70" s="1">
        <v>43262.427777777775</v>
      </c>
      <c r="L70">
        <v>8888</v>
      </c>
      <c r="M70">
        <f>_xlfn.XLOOKUP(G70, tablica!$R$3:$R$34, tablica!$U$3:$U$34)</f>
        <v>11000317</v>
      </c>
      <c r="N70">
        <f>_xlfn.XLOOKUP(G70, tablica!$R$3:$R$34, tablica!$V$3:$V$34)</f>
        <v>241391757902</v>
      </c>
      <c r="O70">
        <v>1131980</v>
      </c>
      <c r="P70" t="s">
        <v>94</v>
      </c>
      <c r="Q70" t="s">
        <v>93</v>
      </c>
    </row>
    <row r="71" spans="1:17" x14ac:dyDescent="0.3">
      <c r="A71">
        <v>2004657496</v>
      </c>
      <c r="B71">
        <v>1</v>
      </c>
      <c r="C71">
        <v>524070308</v>
      </c>
      <c r="D71" t="s">
        <v>95</v>
      </c>
      <c r="E71" t="s">
        <v>21</v>
      </c>
      <c r="F71" t="s">
        <v>22</v>
      </c>
      <c r="G71" t="s">
        <v>53</v>
      </c>
      <c r="H71">
        <v>1</v>
      </c>
      <c r="I71">
        <f>_xlfn.XLOOKUP(G71, tablica!$R$3:$R$34, tablica!$T$3:$T$34)</f>
        <v>131</v>
      </c>
      <c r="J71">
        <f t="shared" si="1"/>
        <v>131</v>
      </c>
      <c r="K71" s="1">
        <v>43264.746527777781</v>
      </c>
      <c r="L71">
        <v>8888</v>
      </c>
      <c r="M71">
        <f>_xlfn.XLOOKUP(G71, tablica!$R$3:$R$34, tablica!$U$3:$U$34)</f>
        <v>11000241</v>
      </c>
      <c r="N71">
        <f>_xlfn.XLOOKUP(G71, tablica!$R$3:$R$34, tablica!$V$3:$V$34)</f>
        <v>65225337712</v>
      </c>
      <c r="O71">
        <v>1131980</v>
      </c>
      <c r="P71" t="s">
        <v>94</v>
      </c>
      <c r="Q71" t="s">
        <v>93</v>
      </c>
    </row>
    <row r="72" spans="1:17" x14ac:dyDescent="0.3">
      <c r="A72">
        <v>2004657497</v>
      </c>
      <c r="B72">
        <v>1</v>
      </c>
      <c r="C72">
        <v>524070308</v>
      </c>
      <c r="D72" t="s">
        <v>95</v>
      </c>
      <c r="E72" t="s">
        <v>18</v>
      </c>
      <c r="F72" t="s">
        <v>42</v>
      </c>
      <c r="G72" t="s">
        <v>76</v>
      </c>
      <c r="H72">
        <v>1</v>
      </c>
      <c r="I72">
        <f>_xlfn.XLOOKUP(G72, tablica!$R$3:$R$34, tablica!$T$3:$T$34)</f>
        <v>44</v>
      </c>
      <c r="J72">
        <f t="shared" si="1"/>
        <v>44</v>
      </c>
      <c r="K72" s="1">
        <v>43264.961805555555</v>
      </c>
      <c r="L72">
        <v>8888</v>
      </c>
      <c r="M72">
        <f>_xlfn.XLOOKUP(G72, tablica!$R$3:$R$34, tablica!$U$3:$U$34)</f>
        <v>11000452</v>
      </c>
      <c r="N72">
        <f>_xlfn.XLOOKUP(G72, tablica!$R$3:$R$34, tablica!$V$3:$V$34)</f>
        <v>202953108877</v>
      </c>
      <c r="O72">
        <v>1131980</v>
      </c>
      <c r="P72" t="s">
        <v>94</v>
      </c>
      <c r="Q72" t="s">
        <v>93</v>
      </c>
    </row>
    <row r="73" spans="1:17" x14ac:dyDescent="0.3">
      <c r="A73">
        <v>2004657498</v>
      </c>
      <c r="B73">
        <v>1</v>
      </c>
      <c r="C73">
        <v>524070308</v>
      </c>
      <c r="D73" t="s">
        <v>95</v>
      </c>
      <c r="E73" t="s">
        <v>18</v>
      </c>
      <c r="F73" t="s">
        <v>29</v>
      </c>
      <c r="G73" t="s">
        <v>30</v>
      </c>
      <c r="H73">
        <v>10</v>
      </c>
      <c r="I73">
        <f>_xlfn.XLOOKUP(G73, tablica!$R$3:$R$34, tablica!$T$3:$T$34)</f>
        <v>156</v>
      </c>
      <c r="J73">
        <f t="shared" si="1"/>
        <v>1560</v>
      </c>
      <c r="K73" s="1">
        <v>43267.749305555553</v>
      </c>
      <c r="L73">
        <v>8888</v>
      </c>
      <c r="M73">
        <f>_xlfn.XLOOKUP(G73, tablica!$R$3:$R$34, tablica!$U$3:$U$34)</f>
        <v>11000301</v>
      </c>
      <c r="N73">
        <f>_xlfn.XLOOKUP(G73, tablica!$R$3:$R$34, tablica!$V$3:$V$34)</f>
        <v>440331456754</v>
      </c>
      <c r="O73">
        <v>1131980</v>
      </c>
      <c r="P73" t="s">
        <v>94</v>
      </c>
      <c r="Q73" t="s">
        <v>93</v>
      </c>
    </row>
    <row r="74" spans="1:17" x14ac:dyDescent="0.3">
      <c r="A74">
        <v>2004657499</v>
      </c>
      <c r="B74">
        <v>1</v>
      </c>
      <c r="C74">
        <v>524070308</v>
      </c>
      <c r="D74" t="s">
        <v>95</v>
      </c>
      <c r="E74" t="s">
        <v>18</v>
      </c>
      <c r="F74" t="s">
        <v>29</v>
      </c>
      <c r="G74" t="s">
        <v>32</v>
      </c>
      <c r="H74">
        <v>10</v>
      </c>
      <c r="I74">
        <f>_xlfn.XLOOKUP(G74, tablica!$R$3:$R$34, tablica!$T$3:$T$34)</f>
        <v>217</v>
      </c>
      <c r="J74">
        <f t="shared" si="1"/>
        <v>2170</v>
      </c>
      <c r="K74" s="1">
        <v>43267.75</v>
      </c>
      <c r="L74">
        <v>8888</v>
      </c>
      <c r="M74">
        <f>_xlfn.XLOOKUP(G74, tablica!$R$3:$R$34, tablica!$U$3:$U$34)</f>
        <v>11000428</v>
      </c>
      <c r="N74">
        <f>_xlfn.XLOOKUP(G74, tablica!$R$3:$R$34, tablica!$V$3:$V$34)</f>
        <v>332966150556</v>
      </c>
      <c r="O74">
        <v>1131980</v>
      </c>
      <c r="P74" t="s">
        <v>94</v>
      </c>
      <c r="Q74" t="s">
        <v>93</v>
      </c>
    </row>
    <row r="75" spans="1:17" x14ac:dyDescent="0.3">
      <c r="A75">
        <v>2004657500</v>
      </c>
      <c r="B75">
        <v>1</v>
      </c>
      <c r="C75">
        <v>524070308</v>
      </c>
      <c r="D75" t="s">
        <v>95</v>
      </c>
      <c r="E75" t="s">
        <v>21</v>
      </c>
      <c r="F75" t="s">
        <v>22</v>
      </c>
      <c r="G75" t="s">
        <v>33</v>
      </c>
      <c r="H75">
        <v>1</v>
      </c>
      <c r="I75">
        <f>_xlfn.XLOOKUP(G75, tablica!$R$3:$R$34, tablica!$T$3:$T$34)</f>
        <v>145</v>
      </c>
      <c r="J75">
        <f t="shared" si="1"/>
        <v>145</v>
      </c>
      <c r="K75" s="1">
        <v>43268.308333333334</v>
      </c>
      <c r="L75">
        <v>8888</v>
      </c>
      <c r="M75">
        <f>_xlfn.XLOOKUP(G75, tablica!$R$3:$R$34, tablica!$U$3:$U$34)</f>
        <v>11000269</v>
      </c>
      <c r="N75">
        <f>_xlfn.XLOOKUP(G75, tablica!$R$3:$R$34, tablica!$V$3:$V$34)</f>
        <v>363236906370</v>
      </c>
      <c r="O75">
        <v>1131980</v>
      </c>
      <c r="P75" t="s">
        <v>94</v>
      </c>
      <c r="Q75" t="s">
        <v>93</v>
      </c>
    </row>
    <row r="76" spans="1:17" x14ac:dyDescent="0.3">
      <c r="A76">
        <v>2004657501</v>
      </c>
      <c r="B76">
        <v>1</v>
      </c>
      <c r="C76">
        <v>524070308</v>
      </c>
      <c r="D76" t="s">
        <v>95</v>
      </c>
      <c r="E76" t="s">
        <v>21</v>
      </c>
      <c r="F76" t="s">
        <v>22</v>
      </c>
      <c r="G76" t="s">
        <v>23</v>
      </c>
      <c r="H76">
        <v>1</v>
      </c>
      <c r="I76">
        <f>_xlfn.XLOOKUP(G76, tablica!$R$3:$R$34, tablica!$T$3:$T$34)</f>
        <v>169</v>
      </c>
      <c r="J76">
        <f t="shared" si="1"/>
        <v>169</v>
      </c>
      <c r="K76" s="1">
        <v>43268.320833333331</v>
      </c>
      <c r="L76">
        <v>8888</v>
      </c>
      <c r="M76">
        <f>_xlfn.XLOOKUP(G76, tablica!$R$3:$R$34, tablica!$U$3:$U$34)</f>
        <v>11000412</v>
      </c>
      <c r="N76">
        <f>_xlfn.XLOOKUP(G76, tablica!$R$3:$R$34, tablica!$V$3:$V$34)</f>
        <v>176527023908</v>
      </c>
      <c r="O76">
        <v>1131980</v>
      </c>
      <c r="P76" t="s">
        <v>94</v>
      </c>
      <c r="Q76" t="s">
        <v>93</v>
      </c>
    </row>
    <row r="77" spans="1:17" x14ac:dyDescent="0.3">
      <c r="A77">
        <v>2004657502</v>
      </c>
      <c r="B77">
        <v>1</v>
      </c>
      <c r="C77">
        <v>524070308</v>
      </c>
      <c r="D77" t="s">
        <v>95</v>
      </c>
      <c r="E77" t="s">
        <v>18</v>
      </c>
      <c r="F77" t="s">
        <v>19</v>
      </c>
      <c r="G77" t="s">
        <v>20</v>
      </c>
      <c r="H77">
        <v>1</v>
      </c>
      <c r="I77">
        <f>_xlfn.XLOOKUP(G77, tablica!$R$3:$R$34, tablica!$T$3:$T$34)</f>
        <v>50</v>
      </c>
      <c r="J77">
        <f t="shared" si="1"/>
        <v>50</v>
      </c>
      <c r="K77" s="1">
        <v>43268.323611111111</v>
      </c>
      <c r="L77">
        <v>8888</v>
      </c>
      <c r="M77">
        <f>_xlfn.XLOOKUP(G77, tablica!$R$3:$R$34, tablica!$U$3:$U$34)</f>
        <v>11000317</v>
      </c>
      <c r="N77">
        <f>_xlfn.XLOOKUP(G77, tablica!$R$3:$R$34, tablica!$V$3:$V$34)</f>
        <v>241391757902</v>
      </c>
      <c r="O77">
        <v>1131980</v>
      </c>
      <c r="P77" t="s">
        <v>94</v>
      </c>
      <c r="Q77" t="s">
        <v>93</v>
      </c>
    </row>
    <row r="78" spans="1:17" x14ac:dyDescent="0.3">
      <c r="A78">
        <v>2004657503</v>
      </c>
      <c r="B78">
        <v>1</v>
      </c>
      <c r="C78">
        <v>524070308</v>
      </c>
      <c r="D78" t="s">
        <v>95</v>
      </c>
      <c r="E78" t="s">
        <v>18</v>
      </c>
      <c r="F78" t="s">
        <v>47</v>
      </c>
      <c r="G78" t="s">
        <v>77</v>
      </c>
      <c r="H78">
        <v>10</v>
      </c>
      <c r="I78">
        <f>_xlfn.XLOOKUP(G78, tablica!$R$3:$R$34, tablica!$T$3:$T$34)</f>
        <v>158</v>
      </c>
      <c r="J78">
        <f t="shared" si="1"/>
        <v>1580</v>
      </c>
      <c r="K78" s="1">
        <v>43268.324305555558</v>
      </c>
      <c r="L78">
        <v>8888</v>
      </c>
      <c r="M78">
        <f>_xlfn.XLOOKUP(G78, tablica!$R$3:$R$34, tablica!$U$3:$U$34)</f>
        <v>11000171</v>
      </c>
      <c r="N78">
        <f>_xlfn.XLOOKUP(G78, tablica!$R$3:$R$34, tablica!$V$3:$V$34)</f>
        <v>137061556926</v>
      </c>
      <c r="O78">
        <v>1131980</v>
      </c>
      <c r="P78" t="s">
        <v>94</v>
      </c>
      <c r="Q78" t="s">
        <v>93</v>
      </c>
    </row>
    <row r="79" spans="1:17" x14ac:dyDescent="0.3">
      <c r="A79">
        <v>2004657504</v>
      </c>
      <c r="B79">
        <v>1</v>
      </c>
      <c r="C79">
        <v>524070308</v>
      </c>
      <c r="D79" t="s">
        <v>95</v>
      </c>
      <c r="E79" t="s">
        <v>18</v>
      </c>
      <c r="F79" t="s">
        <v>47</v>
      </c>
      <c r="G79" t="s">
        <v>78</v>
      </c>
      <c r="H79">
        <v>10</v>
      </c>
      <c r="I79">
        <f>_xlfn.XLOOKUP(G79, tablica!$R$3:$R$34, tablica!$T$3:$T$34)</f>
        <v>78</v>
      </c>
      <c r="J79">
        <f t="shared" si="1"/>
        <v>780</v>
      </c>
      <c r="K79" s="1">
        <v>43268.324999999997</v>
      </c>
      <c r="L79">
        <v>8888</v>
      </c>
      <c r="M79">
        <f>_xlfn.XLOOKUP(G79, tablica!$R$3:$R$34, tablica!$U$3:$U$34)</f>
        <v>11000137</v>
      </c>
      <c r="N79">
        <f>_xlfn.XLOOKUP(G79, tablica!$R$3:$R$34, tablica!$V$3:$V$34)</f>
        <v>66309439958</v>
      </c>
      <c r="O79">
        <v>1131980</v>
      </c>
      <c r="P79" t="s">
        <v>94</v>
      </c>
      <c r="Q79" t="s">
        <v>93</v>
      </c>
    </row>
    <row r="80" spans="1:17" x14ac:dyDescent="0.3">
      <c r="A80">
        <v>2004657505</v>
      </c>
      <c r="B80">
        <v>1</v>
      </c>
      <c r="C80">
        <v>524070308</v>
      </c>
      <c r="D80" t="s">
        <v>95</v>
      </c>
      <c r="E80" t="s">
        <v>21</v>
      </c>
      <c r="F80" t="s">
        <v>22</v>
      </c>
      <c r="G80" t="s">
        <v>33</v>
      </c>
      <c r="H80">
        <v>1</v>
      </c>
      <c r="I80">
        <f>_xlfn.XLOOKUP(G80, tablica!$R$3:$R$34, tablica!$T$3:$T$34)</f>
        <v>145</v>
      </c>
      <c r="J80">
        <f t="shared" si="1"/>
        <v>145</v>
      </c>
      <c r="K80" s="1">
        <v>43268.411111111112</v>
      </c>
      <c r="L80">
        <v>8888</v>
      </c>
      <c r="M80">
        <f>_xlfn.XLOOKUP(G80, tablica!$R$3:$R$34, tablica!$U$3:$U$34)</f>
        <v>11000269</v>
      </c>
      <c r="N80">
        <f>_xlfn.XLOOKUP(G80, tablica!$R$3:$R$34, tablica!$V$3:$V$34)</f>
        <v>363236906370</v>
      </c>
      <c r="O80">
        <v>1131980</v>
      </c>
      <c r="P80" t="s">
        <v>94</v>
      </c>
      <c r="Q80" t="s">
        <v>93</v>
      </c>
    </row>
    <row r="81" spans="1:17" x14ac:dyDescent="0.3">
      <c r="A81">
        <v>2004657506</v>
      </c>
      <c r="B81">
        <v>1</v>
      </c>
      <c r="C81">
        <v>524070308</v>
      </c>
      <c r="D81" t="s">
        <v>95</v>
      </c>
      <c r="E81" t="s">
        <v>21</v>
      </c>
      <c r="F81" t="s">
        <v>22</v>
      </c>
      <c r="G81" t="s">
        <v>33</v>
      </c>
      <c r="H81">
        <v>1</v>
      </c>
      <c r="I81">
        <f>_xlfn.XLOOKUP(G81, tablica!$R$3:$R$34, tablica!$T$3:$T$34)</f>
        <v>145</v>
      </c>
      <c r="J81">
        <f t="shared" si="1"/>
        <v>145</v>
      </c>
      <c r="K81" s="1">
        <v>43269.311805555553</v>
      </c>
      <c r="L81">
        <v>8888</v>
      </c>
      <c r="M81">
        <f>_xlfn.XLOOKUP(G81, tablica!$R$3:$R$34, tablica!$U$3:$U$34)</f>
        <v>11000269</v>
      </c>
      <c r="N81">
        <f>_xlfn.XLOOKUP(G81, tablica!$R$3:$R$34, tablica!$V$3:$V$34)</f>
        <v>363236906370</v>
      </c>
      <c r="O81">
        <v>1131980</v>
      </c>
      <c r="P81" t="s">
        <v>94</v>
      </c>
      <c r="Q81" t="s">
        <v>93</v>
      </c>
    </row>
    <row r="82" spans="1:17" x14ac:dyDescent="0.3">
      <c r="A82">
        <v>2004657507</v>
      </c>
      <c r="B82">
        <v>1</v>
      </c>
      <c r="C82">
        <v>524070308</v>
      </c>
      <c r="D82" t="s">
        <v>95</v>
      </c>
      <c r="E82" t="s">
        <v>21</v>
      </c>
      <c r="F82" t="s">
        <v>22</v>
      </c>
      <c r="G82" t="s">
        <v>33</v>
      </c>
      <c r="H82">
        <v>1</v>
      </c>
      <c r="I82">
        <f>_xlfn.XLOOKUP(G82, tablica!$R$3:$R$34, tablica!$T$3:$T$34)</f>
        <v>145</v>
      </c>
      <c r="J82">
        <f t="shared" si="1"/>
        <v>145</v>
      </c>
      <c r="K82" s="1">
        <v>43269.363888888889</v>
      </c>
      <c r="L82">
        <v>8888</v>
      </c>
      <c r="M82">
        <f>_xlfn.XLOOKUP(G82, tablica!$R$3:$R$34, tablica!$U$3:$U$34)</f>
        <v>11000269</v>
      </c>
      <c r="N82">
        <f>_xlfn.XLOOKUP(G82, tablica!$R$3:$R$34, tablica!$V$3:$V$34)</f>
        <v>363236906370</v>
      </c>
      <c r="O82">
        <v>1131980</v>
      </c>
      <c r="P82" t="s">
        <v>94</v>
      </c>
      <c r="Q82" t="s">
        <v>93</v>
      </c>
    </row>
    <row r="83" spans="1:17" x14ac:dyDescent="0.3">
      <c r="A83">
        <v>2004657508</v>
      </c>
      <c r="B83">
        <v>1</v>
      </c>
      <c r="C83">
        <v>524070308</v>
      </c>
      <c r="D83" t="s">
        <v>95</v>
      </c>
      <c r="E83" t="s">
        <v>18</v>
      </c>
      <c r="F83" t="s">
        <v>29</v>
      </c>
      <c r="G83" t="s">
        <v>39</v>
      </c>
      <c r="H83">
        <v>10</v>
      </c>
      <c r="I83">
        <f>_xlfn.XLOOKUP(G83, tablica!$R$3:$R$34, tablica!$T$3:$T$34)</f>
        <v>127</v>
      </c>
      <c r="J83">
        <f t="shared" si="1"/>
        <v>1270</v>
      </c>
      <c r="K83" s="1">
        <v>43269.449305555558</v>
      </c>
      <c r="L83">
        <v>8888</v>
      </c>
      <c r="M83">
        <f>_xlfn.XLOOKUP(G83, tablica!$R$3:$R$34, tablica!$U$3:$U$34)</f>
        <v>11000307</v>
      </c>
      <c r="N83">
        <f>_xlfn.XLOOKUP(G83, tablica!$R$3:$R$34, tablica!$V$3:$V$34)</f>
        <v>488714211366</v>
      </c>
      <c r="O83">
        <v>1131980</v>
      </c>
      <c r="P83" t="s">
        <v>94</v>
      </c>
      <c r="Q83" t="s">
        <v>93</v>
      </c>
    </row>
    <row r="84" spans="1:17" x14ac:dyDescent="0.3">
      <c r="A84">
        <v>2004657509</v>
      </c>
      <c r="B84">
        <v>1</v>
      </c>
      <c r="C84">
        <v>524070308</v>
      </c>
      <c r="D84" t="s">
        <v>95</v>
      </c>
      <c r="E84" t="s">
        <v>21</v>
      </c>
      <c r="F84" t="s">
        <v>22</v>
      </c>
      <c r="G84" t="s">
        <v>33</v>
      </c>
      <c r="H84">
        <v>1</v>
      </c>
      <c r="I84">
        <f>_xlfn.XLOOKUP(G84, tablica!$R$3:$R$34, tablica!$T$3:$T$34)</f>
        <v>145</v>
      </c>
      <c r="J84">
        <f t="shared" si="1"/>
        <v>145</v>
      </c>
      <c r="K84" s="1">
        <v>43269.45</v>
      </c>
      <c r="L84">
        <v>8888</v>
      </c>
      <c r="M84">
        <f>_xlfn.XLOOKUP(G84, tablica!$R$3:$R$34, tablica!$U$3:$U$34)</f>
        <v>11000269</v>
      </c>
      <c r="N84">
        <f>_xlfn.XLOOKUP(G84, tablica!$R$3:$R$34, tablica!$V$3:$V$34)</f>
        <v>363236906370</v>
      </c>
      <c r="O84">
        <v>1131980</v>
      </c>
      <c r="P84" t="s">
        <v>94</v>
      </c>
      <c r="Q84" t="s">
        <v>93</v>
      </c>
    </row>
    <row r="85" spans="1:17" x14ac:dyDescent="0.3">
      <c r="A85">
        <v>2004657510</v>
      </c>
      <c r="B85">
        <v>1</v>
      </c>
      <c r="C85">
        <v>524070308</v>
      </c>
      <c r="D85" t="s">
        <v>95</v>
      </c>
      <c r="E85" t="s">
        <v>18</v>
      </c>
      <c r="F85" t="s">
        <v>22</v>
      </c>
      <c r="G85" t="s">
        <v>60</v>
      </c>
      <c r="H85">
        <v>1</v>
      </c>
      <c r="I85">
        <f>_xlfn.XLOOKUP(G85, tablica!$R$3:$R$34, tablica!$T$3:$T$34)</f>
        <v>151</v>
      </c>
      <c r="J85">
        <f t="shared" si="1"/>
        <v>151</v>
      </c>
      <c r="K85" s="1">
        <v>43269.718055555553</v>
      </c>
      <c r="L85">
        <v>8888</v>
      </c>
      <c r="M85">
        <f>_xlfn.XLOOKUP(G85, tablica!$R$3:$R$34, tablica!$U$3:$U$34)</f>
        <v>11000217</v>
      </c>
      <c r="N85">
        <f>_xlfn.XLOOKUP(G85, tablica!$R$3:$R$34, tablica!$V$3:$V$34)</f>
        <v>248226542077</v>
      </c>
      <c r="O85">
        <v>1131980</v>
      </c>
      <c r="P85" t="s">
        <v>94</v>
      </c>
      <c r="Q85" t="s">
        <v>93</v>
      </c>
    </row>
    <row r="86" spans="1:17" x14ac:dyDescent="0.3">
      <c r="A86">
        <v>2004657511</v>
      </c>
      <c r="B86">
        <v>1</v>
      </c>
      <c r="C86">
        <v>524070308</v>
      </c>
      <c r="D86" t="s">
        <v>95</v>
      </c>
      <c r="E86" t="s">
        <v>18</v>
      </c>
      <c r="F86" t="s">
        <v>19</v>
      </c>
      <c r="G86" t="s">
        <v>20</v>
      </c>
      <c r="H86">
        <v>1</v>
      </c>
      <c r="I86">
        <f>_xlfn.XLOOKUP(G86, tablica!$R$3:$R$34, tablica!$T$3:$T$34)</f>
        <v>50</v>
      </c>
      <c r="J86">
        <f t="shared" si="1"/>
        <v>50</v>
      </c>
      <c r="K86" s="1">
        <v>43269.724999999999</v>
      </c>
      <c r="L86">
        <v>8888</v>
      </c>
      <c r="M86">
        <f>_xlfn.XLOOKUP(G86, tablica!$R$3:$R$34, tablica!$U$3:$U$34)</f>
        <v>11000317</v>
      </c>
      <c r="N86">
        <f>_xlfn.XLOOKUP(G86, tablica!$R$3:$R$34, tablica!$V$3:$V$34)</f>
        <v>241391757902</v>
      </c>
      <c r="O86">
        <v>1131980</v>
      </c>
      <c r="P86" t="s">
        <v>94</v>
      </c>
      <c r="Q86" t="s">
        <v>93</v>
      </c>
    </row>
    <row r="87" spans="1:17" x14ac:dyDescent="0.3">
      <c r="A87">
        <v>2004657512</v>
      </c>
      <c r="B87">
        <v>1</v>
      </c>
      <c r="C87">
        <v>524070308</v>
      </c>
      <c r="D87" t="s">
        <v>95</v>
      </c>
      <c r="E87" t="s">
        <v>21</v>
      </c>
      <c r="F87" t="s">
        <v>25</v>
      </c>
      <c r="G87" t="s">
        <v>26</v>
      </c>
      <c r="H87">
        <v>1</v>
      </c>
      <c r="I87">
        <f>_xlfn.XLOOKUP(G87, tablica!$R$3:$R$34, tablica!$T$3:$T$34)</f>
        <v>81</v>
      </c>
      <c r="J87">
        <f t="shared" si="1"/>
        <v>81</v>
      </c>
      <c r="K87" s="1">
        <v>43275.582638888889</v>
      </c>
      <c r="L87">
        <v>8888</v>
      </c>
      <c r="M87">
        <f>_xlfn.XLOOKUP(G87, tablica!$R$3:$R$34, tablica!$U$3:$U$34)</f>
        <v>11000382</v>
      </c>
      <c r="N87">
        <f>_xlfn.XLOOKUP(G87, tablica!$R$3:$R$34, tablica!$V$3:$V$34)</f>
        <v>253569993627</v>
      </c>
      <c r="O87">
        <v>1131980</v>
      </c>
      <c r="P87" t="s">
        <v>94</v>
      </c>
      <c r="Q87" t="s">
        <v>93</v>
      </c>
    </row>
    <row r="88" spans="1:17" x14ac:dyDescent="0.3">
      <c r="A88">
        <v>2004657513</v>
      </c>
      <c r="B88">
        <v>1</v>
      </c>
      <c r="C88">
        <v>524070308</v>
      </c>
      <c r="D88" t="s">
        <v>95</v>
      </c>
      <c r="E88" t="s">
        <v>18</v>
      </c>
      <c r="F88" t="s">
        <v>36</v>
      </c>
      <c r="G88" t="s">
        <v>37</v>
      </c>
      <c r="H88">
        <v>5</v>
      </c>
      <c r="I88">
        <f>_xlfn.XLOOKUP(G88, tablica!$R$3:$R$34, tablica!$T$3:$T$34)</f>
        <v>86</v>
      </c>
      <c r="J88">
        <f t="shared" si="1"/>
        <v>430</v>
      </c>
      <c r="K88" s="1">
        <v>43275.813888888886</v>
      </c>
      <c r="L88">
        <v>8888</v>
      </c>
      <c r="M88">
        <f>_xlfn.XLOOKUP(G88, tablica!$R$3:$R$34, tablica!$U$3:$U$34)</f>
        <v>11000265</v>
      </c>
      <c r="N88">
        <f>_xlfn.XLOOKUP(G88, tablica!$R$3:$R$34, tablica!$V$3:$V$34)</f>
        <v>79046819988</v>
      </c>
      <c r="O88">
        <v>1131980</v>
      </c>
      <c r="P88" t="s">
        <v>94</v>
      </c>
      <c r="Q88" t="s">
        <v>93</v>
      </c>
    </row>
    <row r="89" spans="1:17" x14ac:dyDescent="0.3">
      <c r="A89">
        <v>2004657514</v>
      </c>
      <c r="B89">
        <v>1</v>
      </c>
      <c r="C89">
        <v>524070308</v>
      </c>
      <c r="D89" t="s">
        <v>95</v>
      </c>
      <c r="E89" t="s">
        <v>21</v>
      </c>
      <c r="F89" t="s">
        <v>22</v>
      </c>
      <c r="G89" t="s">
        <v>33</v>
      </c>
      <c r="H89">
        <v>1</v>
      </c>
      <c r="I89">
        <f>_xlfn.XLOOKUP(G89, tablica!$R$3:$R$34, tablica!$T$3:$T$34)</f>
        <v>145</v>
      </c>
      <c r="J89">
        <f t="shared" si="1"/>
        <v>145</v>
      </c>
      <c r="K89" s="1">
        <v>43276.46597222222</v>
      </c>
      <c r="L89">
        <v>8888</v>
      </c>
      <c r="M89">
        <f>_xlfn.XLOOKUP(G89, tablica!$R$3:$R$34, tablica!$U$3:$U$34)</f>
        <v>11000269</v>
      </c>
      <c r="N89">
        <f>_xlfn.XLOOKUP(G89, tablica!$R$3:$R$34, tablica!$V$3:$V$34)</f>
        <v>363236906370</v>
      </c>
      <c r="O89">
        <v>1131980</v>
      </c>
      <c r="P89" t="s">
        <v>94</v>
      </c>
      <c r="Q89" t="s">
        <v>93</v>
      </c>
    </row>
    <row r="90" spans="1:17" x14ac:dyDescent="0.3">
      <c r="A90">
        <v>2004657515</v>
      </c>
      <c r="B90">
        <v>1</v>
      </c>
      <c r="C90">
        <v>524070308</v>
      </c>
      <c r="D90" t="s">
        <v>95</v>
      </c>
      <c r="E90" t="s">
        <v>18</v>
      </c>
      <c r="F90" t="s">
        <v>22</v>
      </c>
      <c r="G90" t="s">
        <v>33</v>
      </c>
      <c r="H90">
        <v>1</v>
      </c>
      <c r="I90">
        <f>_xlfn.XLOOKUP(G90, tablica!$R$3:$R$34, tablica!$T$3:$T$34)</f>
        <v>145</v>
      </c>
      <c r="J90">
        <f t="shared" si="1"/>
        <v>145</v>
      </c>
      <c r="K90" s="1">
        <v>43276.472222222219</v>
      </c>
      <c r="L90">
        <v>8888</v>
      </c>
      <c r="M90">
        <f>_xlfn.XLOOKUP(G90, tablica!$R$3:$R$34, tablica!$U$3:$U$34)</f>
        <v>11000269</v>
      </c>
      <c r="N90">
        <f>_xlfn.XLOOKUP(G90, tablica!$R$3:$R$34, tablica!$V$3:$V$34)</f>
        <v>363236906370</v>
      </c>
      <c r="O90">
        <v>1131980</v>
      </c>
      <c r="P90" t="s">
        <v>94</v>
      </c>
      <c r="Q90" t="s">
        <v>93</v>
      </c>
    </row>
    <row r="91" spans="1:17" x14ac:dyDescent="0.3">
      <c r="A91">
        <v>2004657516</v>
      </c>
      <c r="B91">
        <v>1</v>
      </c>
      <c r="C91">
        <v>524070308</v>
      </c>
      <c r="D91" t="s">
        <v>95</v>
      </c>
      <c r="E91" t="s">
        <v>18</v>
      </c>
      <c r="F91" t="s">
        <v>22</v>
      </c>
      <c r="G91" t="s">
        <v>33</v>
      </c>
      <c r="H91">
        <v>1</v>
      </c>
      <c r="I91">
        <f>_xlfn.XLOOKUP(G91, tablica!$R$3:$R$34, tablica!$T$3:$T$34)</f>
        <v>145</v>
      </c>
      <c r="J91">
        <f t="shared" si="1"/>
        <v>145</v>
      </c>
      <c r="K91" s="1">
        <v>43276.494444444441</v>
      </c>
      <c r="L91">
        <v>8888</v>
      </c>
      <c r="M91">
        <f>_xlfn.XLOOKUP(G91, tablica!$R$3:$R$34, tablica!$U$3:$U$34)</f>
        <v>11000269</v>
      </c>
      <c r="N91">
        <f>_xlfn.XLOOKUP(G91, tablica!$R$3:$R$34, tablica!$V$3:$V$34)</f>
        <v>363236906370</v>
      </c>
      <c r="O91">
        <v>1131980</v>
      </c>
      <c r="P91" t="s">
        <v>94</v>
      </c>
      <c r="Q91" t="s">
        <v>93</v>
      </c>
    </row>
    <row r="92" spans="1:17" x14ac:dyDescent="0.3">
      <c r="A92">
        <v>2004657517</v>
      </c>
      <c r="B92">
        <v>1</v>
      </c>
      <c r="C92">
        <v>524070308</v>
      </c>
      <c r="D92" t="s">
        <v>95</v>
      </c>
      <c r="E92" t="s">
        <v>21</v>
      </c>
      <c r="F92" t="s">
        <v>25</v>
      </c>
      <c r="G92" t="s">
        <v>26</v>
      </c>
      <c r="H92">
        <v>1</v>
      </c>
      <c r="I92">
        <f>_xlfn.XLOOKUP(G92, tablica!$R$3:$R$34, tablica!$T$3:$T$34)</f>
        <v>81</v>
      </c>
      <c r="J92">
        <f t="shared" si="1"/>
        <v>81</v>
      </c>
      <c r="K92" s="1">
        <v>43276.773611111108</v>
      </c>
      <c r="L92">
        <v>8888</v>
      </c>
      <c r="M92">
        <f>_xlfn.XLOOKUP(G92, tablica!$R$3:$R$34, tablica!$U$3:$U$34)</f>
        <v>11000382</v>
      </c>
      <c r="N92">
        <f>_xlfn.XLOOKUP(G92, tablica!$R$3:$R$34, tablica!$V$3:$V$34)</f>
        <v>253569993627</v>
      </c>
      <c r="O92">
        <v>1131980</v>
      </c>
      <c r="P92" t="s">
        <v>94</v>
      </c>
      <c r="Q92" t="s">
        <v>93</v>
      </c>
    </row>
    <row r="93" spans="1:17" x14ac:dyDescent="0.3">
      <c r="A93">
        <v>2004657518</v>
      </c>
      <c r="B93">
        <v>1</v>
      </c>
      <c r="C93">
        <v>524070308</v>
      </c>
      <c r="D93" t="s">
        <v>95</v>
      </c>
      <c r="E93" t="s">
        <v>21</v>
      </c>
      <c r="F93" t="s">
        <v>25</v>
      </c>
      <c r="G93" t="s">
        <v>26</v>
      </c>
      <c r="H93">
        <v>1</v>
      </c>
      <c r="I93">
        <f>_xlfn.XLOOKUP(G93, tablica!$R$3:$R$34, tablica!$T$3:$T$34)</f>
        <v>81</v>
      </c>
      <c r="J93">
        <f t="shared" si="1"/>
        <v>81</v>
      </c>
      <c r="K93" s="1">
        <v>43276.810416666667</v>
      </c>
      <c r="L93">
        <v>8888</v>
      </c>
      <c r="M93">
        <f>_xlfn.XLOOKUP(G93, tablica!$R$3:$R$34, tablica!$U$3:$U$34)</f>
        <v>11000382</v>
      </c>
      <c r="N93">
        <f>_xlfn.XLOOKUP(G93, tablica!$R$3:$R$34, tablica!$V$3:$V$34)</f>
        <v>253569993627</v>
      </c>
      <c r="O93">
        <v>1131980</v>
      </c>
      <c r="P93" t="s">
        <v>94</v>
      </c>
      <c r="Q93" t="s">
        <v>93</v>
      </c>
    </row>
    <row r="94" spans="1:17" x14ac:dyDescent="0.3">
      <c r="A94">
        <v>2004657519</v>
      </c>
      <c r="B94">
        <v>1</v>
      </c>
      <c r="C94">
        <v>524070308</v>
      </c>
      <c r="D94" t="s">
        <v>95</v>
      </c>
      <c r="E94" t="s">
        <v>18</v>
      </c>
      <c r="F94" t="s">
        <v>25</v>
      </c>
      <c r="G94" t="s">
        <v>26</v>
      </c>
      <c r="H94">
        <v>1</v>
      </c>
      <c r="I94">
        <f>_xlfn.XLOOKUP(G94, tablica!$R$3:$R$34, tablica!$T$3:$T$34)</f>
        <v>81</v>
      </c>
      <c r="J94">
        <f t="shared" si="1"/>
        <v>81</v>
      </c>
      <c r="K94" s="1">
        <v>43276.810416666667</v>
      </c>
      <c r="L94">
        <v>8888</v>
      </c>
      <c r="M94">
        <f>_xlfn.XLOOKUP(G94, tablica!$R$3:$R$34, tablica!$U$3:$U$34)</f>
        <v>11000382</v>
      </c>
      <c r="N94">
        <f>_xlfn.XLOOKUP(G94, tablica!$R$3:$R$34, tablica!$V$3:$V$34)</f>
        <v>253569993627</v>
      </c>
      <c r="O94">
        <v>1131980</v>
      </c>
      <c r="P94" t="s">
        <v>94</v>
      </c>
      <c r="Q94" t="s">
        <v>93</v>
      </c>
    </row>
    <row r="95" spans="1:17" x14ac:dyDescent="0.3">
      <c r="A95">
        <v>2004657520</v>
      </c>
      <c r="B95">
        <v>1</v>
      </c>
      <c r="C95">
        <v>524070308</v>
      </c>
      <c r="D95" t="s">
        <v>95</v>
      </c>
      <c r="E95" t="s">
        <v>18</v>
      </c>
      <c r="F95" t="s">
        <v>19</v>
      </c>
      <c r="G95" t="s">
        <v>20</v>
      </c>
      <c r="H95">
        <v>1</v>
      </c>
      <c r="I95">
        <f>_xlfn.XLOOKUP(G95, tablica!$R$3:$R$34, tablica!$T$3:$T$34)</f>
        <v>50</v>
      </c>
      <c r="J95">
        <f t="shared" si="1"/>
        <v>50</v>
      </c>
      <c r="K95" s="1">
        <v>43277.792361111111</v>
      </c>
      <c r="L95">
        <v>8888</v>
      </c>
      <c r="M95">
        <f>_xlfn.XLOOKUP(G95, tablica!$R$3:$R$34, tablica!$U$3:$U$34)</f>
        <v>11000317</v>
      </c>
      <c r="N95">
        <f>_xlfn.XLOOKUP(G95, tablica!$R$3:$R$34, tablica!$V$3:$V$34)</f>
        <v>241391757902</v>
      </c>
      <c r="O95">
        <v>1131980</v>
      </c>
      <c r="P95" t="s">
        <v>94</v>
      </c>
      <c r="Q95" t="s">
        <v>93</v>
      </c>
    </row>
    <row r="96" spans="1:17" x14ac:dyDescent="0.3">
      <c r="A96">
        <v>2004657521</v>
      </c>
      <c r="B96">
        <v>1</v>
      </c>
      <c r="C96">
        <v>524070308</v>
      </c>
      <c r="D96" t="s">
        <v>95</v>
      </c>
      <c r="E96" t="s">
        <v>21</v>
      </c>
      <c r="F96" t="s">
        <v>22</v>
      </c>
      <c r="G96" t="s">
        <v>23</v>
      </c>
      <c r="H96">
        <v>1</v>
      </c>
      <c r="I96">
        <f>_xlfn.XLOOKUP(G96, tablica!$R$3:$R$34, tablica!$T$3:$T$34)</f>
        <v>169</v>
      </c>
      <c r="J96">
        <f t="shared" si="1"/>
        <v>169</v>
      </c>
      <c r="K96" s="1">
        <v>43277.792361111111</v>
      </c>
      <c r="L96">
        <v>8888</v>
      </c>
      <c r="M96">
        <f>_xlfn.XLOOKUP(G96, tablica!$R$3:$R$34, tablica!$U$3:$U$34)</f>
        <v>11000412</v>
      </c>
      <c r="N96">
        <f>_xlfn.XLOOKUP(G96, tablica!$R$3:$R$34, tablica!$V$3:$V$34)</f>
        <v>176527023908</v>
      </c>
      <c r="O96">
        <v>1131980</v>
      </c>
      <c r="P96" t="s">
        <v>94</v>
      </c>
      <c r="Q96" t="s">
        <v>93</v>
      </c>
    </row>
    <row r="97" spans="1:17" x14ac:dyDescent="0.3">
      <c r="A97">
        <v>2004657522</v>
      </c>
      <c r="B97">
        <v>1</v>
      </c>
      <c r="C97">
        <v>524070308</v>
      </c>
      <c r="D97" t="s">
        <v>95</v>
      </c>
      <c r="E97" t="s">
        <v>18</v>
      </c>
      <c r="F97" t="s">
        <v>42</v>
      </c>
      <c r="G97" t="s">
        <v>76</v>
      </c>
      <c r="H97">
        <v>1</v>
      </c>
      <c r="I97">
        <f>_xlfn.XLOOKUP(G97, tablica!$R$3:$R$34, tablica!$T$3:$T$34)</f>
        <v>44</v>
      </c>
      <c r="J97">
        <f t="shared" si="1"/>
        <v>44</v>
      </c>
      <c r="K97" s="1">
        <v>43277.883333333331</v>
      </c>
      <c r="L97">
        <v>8888</v>
      </c>
      <c r="M97">
        <f>_xlfn.XLOOKUP(G97, tablica!$R$3:$R$34, tablica!$U$3:$U$34)</f>
        <v>11000452</v>
      </c>
      <c r="N97">
        <f>_xlfn.XLOOKUP(G97, tablica!$R$3:$R$34, tablica!$V$3:$V$34)</f>
        <v>202953108877</v>
      </c>
      <c r="O97">
        <v>1131980</v>
      </c>
      <c r="P97" t="s">
        <v>94</v>
      </c>
      <c r="Q97" t="s">
        <v>93</v>
      </c>
    </row>
    <row r="98" spans="1:17" x14ac:dyDescent="0.3">
      <c r="A98">
        <v>2004657523</v>
      </c>
      <c r="B98">
        <v>1</v>
      </c>
      <c r="C98">
        <v>524070308</v>
      </c>
      <c r="D98" t="s">
        <v>95</v>
      </c>
      <c r="E98" t="s">
        <v>21</v>
      </c>
      <c r="F98" t="s">
        <v>42</v>
      </c>
      <c r="G98" t="s">
        <v>43</v>
      </c>
      <c r="H98">
        <v>1</v>
      </c>
      <c r="I98">
        <f>_xlfn.XLOOKUP(G98, tablica!$R$3:$R$34, tablica!$T$3:$T$34)</f>
        <v>51</v>
      </c>
      <c r="J98">
        <f t="shared" si="1"/>
        <v>51</v>
      </c>
      <c r="K98" s="1">
        <v>43277.908333333333</v>
      </c>
      <c r="L98">
        <v>8888</v>
      </c>
      <c r="M98">
        <f>_xlfn.XLOOKUP(G98, tablica!$R$3:$R$34, tablica!$U$3:$U$34)</f>
        <v>11000433</v>
      </c>
      <c r="N98">
        <f>_xlfn.XLOOKUP(G98, tablica!$R$3:$R$34, tablica!$V$3:$V$34)</f>
        <v>101852761344</v>
      </c>
      <c r="O98">
        <v>1131980</v>
      </c>
      <c r="P98" t="s">
        <v>94</v>
      </c>
      <c r="Q98" t="s">
        <v>93</v>
      </c>
    </row>
    <row r="99" spans="1:17" x14ac:dyDescent="0.3">
      <c r="A99">
        <v>2004657524</v>
      </c>
      <c r="B99">
        <v>1</v>
      </c>
      <c r="C99">
        <v>524070308</v>
      </c>
      <c r="D99" t="s">
        <v>95</v>
      </c>
      <c r="E99" t="s">
        <v>18</v>
      </c>
      <c r="F99" t="s">
        <v>54</v>
      </c>
      <c r="G99" t="s">
        <v>55</v>
      </c>
      <c r="H99">
        <v>1</v>
      </c>
      <c r="I99">
        <f>_xlfn.XLOOKUP(G99, tablica!$R$3:$R$34, tablica!$T$3:$T$34)</f>
        <v>271</v>
      </c>
      <c r="J99">
        <f t="shared" si="1"/>
        <v>271</v>
      </c>
      <c r="K99" s="1">
        <v>43277.974999999999</v>
      </c>
      <c r="L99">
        <v>8888</v>
      </c>
      <c r="M99">
        <f>_xlfn.XLOOKUP(G99, tablica!$R$3:$R$34, tablica!$U$3:$U$34)</f>
        <v>11000478</v>
      </c>
      <c r="N99">
        <f>_xlfn.XLOOKUP(G99, tablica!$R$3:$R$34, tablica!$V$3:$V$34)</f>
        <v>438889327432</v>
      </c>
      <c r="O99">
        <v>1131980</v>
      </c>
      <c r="P99" t="s">
        <v>94</v>
      </c>
      <c r="Q99" t="s">
        <v>93</v>
      </c>
    </row>
    <row r="100" spans="1:17" x14ac:dyDescent="0.3">
      <c r="A100">
        <v>2004657525</v>
      </c>
      <c r="B100">
        <v>1</v>
      </c>
      <c r="C100">
        <v>524070308</v>
      </c>
      <c r="D100" t="s">
        <v>95</v>
      </c>
      <c r="E100" t="s">
        <v>18</v>
      </c>
      <c r="F100" t="s">
        <v>29</v>
      </c>
      <c r="G100" t="s">
        <v>32</v>
      </c>
      <c r="H100">
        <v>10</v>
      </c>
      <c r="I100">
        <f>_xlfn.XLOOKUP(G100, tablica!$R$3:$R$34, tablica!$T$3:$T$34)</f>
        <v>217</v>
      </c>
      <c r="J100">
        <f t="shared" si="1"/>
        <v>2170</v>
      </c>
      <c r="K100" s="1">
        <v>43278.009027777778</v>
      </c>
      <c r="L100">
        <v>8888</v>
      </c>
      <c r="M100">
        <f>_xlfn.XLOOKUP(G100, tablica!$R$3:$R$34, tablica!$U$3:$U$34)</f>
        <v>11000428</v>
      </c>
      <c r="N100">
        <f>_xlfn.XLOOKUP(G100, tablica!$R$3:$R$34, tablica!$V$3:$V$34)</f>
        <v>332966150556</v>
      </c>
      <c r="O100">
        <v>1131980</v>
      </c>
      <c r="P100" t="s">
        <v>94</v>
      </c>
      <c r="Q100" t="s">
        <v>93</v>
      </c>
    </row>
    <row r="101" spans="1:17" x14ac:dyDescent="0.3">
      <c r="A101">
        <v>2004657526</v>
      </c>
      <c r="B101">
        <v>1</v>
      </c>
      <c r="C101">
        <v>524070308</v>
      </c>
      <c r="D101" t="s">
        <v>95</v>
      </c>
      <c r="E101" t="s">
        <v>18</v>
      </c>
      <c r="F101" t="s">
        <v>54</v>
      </c>
      <c r="G101" t="s">
        <v>80</v>
      </c>
      <c r="H101">
        <v>1</v>
      </c>
      <c r="I101">
        <f>_xlfn.XLOOKUP(G101, tablica!$R$3:$R$34, tablica!$T$3:$T$34)</f>
        <v>281</v>
      </c>
      <c r="J101">
        <f t="shared" si="1"/>
        <v>281</v>
      </c>
      <c r="K101" s="1">
        <v>43281.354861111111</v>
      </c>
      <c r="L101">
        <v>8888</v>
      </c>
      <c r="M101">
        <f>_xlfn.XLOOKUP(G101, tablica!$R$3:$R$34, tablica!$U$3:$U$34)</f>
        <v>11000481</v>
      </c>
      <c r="N101">
        <f>_xlfn.XLOOKUP(G101, tablica!$R$3:$R$34, tablica!$V$3:$V$34)</f>
        <v>408378663366</v>
      </c>
      <c r="O101">
        <v>1131980</v>
      </c>
      <c r="P101" t="s">
        <v>94</v>
      </c>
      <c r="Q101" t="s">
        <v>93</v>
      </c>
    </row>
    <row r="102" spans="1:17" x14ac:dyDescent="0.3">
      <c r="A102">
        <v>2004657527</v>
      </c>
      <c r="B102">
        <v>1</v>
      </c>
      <c r="C102">
        <v>524070900</v>
      </c>
      <c r="D102" t="s">
        <v>95</v>
      </c>
      <c r="E102" t="s">
        <v>18</v>
      </c>
      <c r="F102" t="s">
        <v>29</v>
      </c>
      <c r="G102" t="s">
        <v>30</v>
      </c>
      <c r="H102">
        <v>10</v>
      </c>
      <c r="I102">
        <f>_xlfn.XLOOKUP(G102, tablica!$R$3:$R$34, tablica!$T$3:$T$34)</f>
        <v>156</v>
      </c>
      <c r="J102">
        <f t="shared" si="1"/>
        <v>1560</v>
      </c>
      <c r="K102" s="1">
        <v>43288.417361111111</v>
      </c>
      <c r="L102">
        <v>8888</v>
      </c>
      <c r="M102">
        <f>_xlfn.XLOOKUP(G102, tablica!$R$3:$R$34, tablica!$U$3:$U$34)</f>
        <v>11000301</v>
      </c>
      <c r="N102">
        <f>_xlfn.XLOOKUP(G102, tablica!$R$3:$R$34, tablica!$V$3:$V$34)</f>
        <v>440331456754</v>
      </c>
      <c r="O102">
        <v>1131980</v>
      </c>
      <c r="P102" t="s">
        <v>94</v>
      </c>
      <c r="Q102" t="s">
        <v>93</v>
      </c>
    </row>
    <row r="103" spans="1:17" x14ac:dyDescent="0.3">
      <c r="A103">
        <v>2004657528</v>
      </c>
      <c r="B103">
        <v>1</v>
      </c>
      <c r="C103">
        <v>524070900</v>
      </c>
      <c r="D103" t="s">
        <v>95</v>
      </c>
      <c r="E103" t="s">
        <v>21</v>
      </c>
      <c r="F103" t="s">
        <v>25</v>
      </c>
      <c r="G103" t="s">
        <v>26</v>
      </c>
      <c r="H103">
        <v>1</v>
      </c>
      <c r="I103">
        <f>_xlfn.XLOOKUP(G103, tablica!$R$3:$R$34, tablica!$T$3:$T$34)</f>
        <v>81</v>
      </c>
      <c r="J103">
        <f t="shared" si="1"/>
        <v>81</v>
      </c>
      <c r="K103" s="1">
        <v>43290.57708333333</v>
      </c>
      <c r="L103">
        <v>8888</v>
      </c>
      <c r="M103">
        <f>_xlfn.XLOOKUP(G103, tablica!$R$3:$R$34, tablica!$U$3:$U$34)</f>
        <v>11000382</v>
      </c>
      <c r="N103">
        <f>_xlfn.XLOOKUP(G103, tablica!$R$3:$R$34, tablica!$V$3:$V$34)</f>
        <v>253569993627</v>
      </c>
      <c r="O103">
        <v>1131980</v>
      </c>
      <c r="P103" t="s">
        <v>94</v>
      </c>
      <c r="Q103" t="s">
        <v>93</v>
      </c>
    </row>
    <row r="104" spans="1:17" x14ac:dyDescent="0.3">
      <c r="A104">
        <v>2004657529</v>
      </c>
      <c r="B104">
        <v>1</v>
      </c>
      <c r="C104">
        <v>524070900</v>
      </c>
      <c r="D104" t="s">
        <v>95</v>
      </c>
      <c r="E104" t="s">
        <v>21</v>
      </c>
      <c r="F104" t="s">
        <v>25</v>
      </c>
      <c r="G104" t="s">
        <v>26</v>
      </c>
      <c r="H104">
        <v>1</v>
      </c>
      <c r="I104">
        <f>_xlfn.XLOOKUP(G104, tablica!$R$3:$R$34, tablica!$T$3:$T$34)</f>
        <v>81</v>
      </c>
      <c r="J104">
        <f t="shared" si="1"/>
        <v>81</v>
      </c>
      <c r="K104" s="1">
        <v>43303.248611111114</v>
      </c>
      <c r="L104">
        <v>8888</v>
      </c>
      <c r="M104">
        <f>_xlfn.XLOOKUP(G104, tablica!$R$3:$R$34, tablica!$U$3:$U$34)</f>
        <v>11000382</v>
      </c>
      <c r="N104">
        <f>_xlfn.XLOOKUP(G104, tablica!$R$3:$R$34, tablica!$V$3:$V$34)</f>
        <v>253569993627</v>
      </c>
      <c r="O104">
        <v>1131980</v>
      </c>
      <c r="P104" t="s">
        <v>94</v>
      </c>
      <c r="Q104" t="s">
        <v>93</v>
      </c>
    </row>
    <row r="105" spans="1:17" x14ac:dyDescent="0.3">
      <c r="A105">
        <v>2004657530</v>
      </c>
      <c r="B105">
        <v>1</v>
      </c>
      <c r="C105">
        <v>524070900</v>
      </c>
      <c r="D105" t="s">
        <v>95</v>
      </c>
      <c r="E105" t="s">
        <v>18</v>
      </c>
      <c r="F105" t="s">
        <v>29</v>
      </c>
      <c r="G105" t="s">
        <v>39</v>
      </c>
      <c r="H105">
        <v>10</v>
      </c>
      <c r="I105">
        <f>_xlfn.XLOOKUP(G105, tablica!$R$3:$R$34, tablica!$T$3:$T$34)</f>
        <v>127</v>
      </c>
      <c r="J105">
        <f t="shared" si="1"/>
        <v>1270</v>
      </c>
      <c r="K105" s="1">
        <v>43305.261805555558</v>
      </c>
      <c r="L105">
        <v>8888</v>
      </c>
      <c r="M105">
        <f>_xlfn.XLOOKUP(G105, tablica!$R$3:$R$34, tablica!$U$3:$U$34)</f>
        <v>11000307</v>
      </c>
      <c r="N105">
        <f>_xlfn.XLOOKUP(G105, tablica!$R$3:$R$34, tablica!$V$3:$V$34)</f>
        <v>488714211366</v>
      </c>
      <c r="O105">
        <v>1131980</v>
      </c>
      <c r="P105" t="s">
        <v>94</v>
      </c>
      <c r="Q105" t="s">
        <v>93</v>
      </c>
    </row>
    <row r="106" spans="1:17" x14ac:dyDescent="0.3">
      <c r="A106">
        <v>2004657531</v>
      </c>
      <c r="B106">
        <v>1</v>
      </c>
      <c r="C106">
        <v>524070900</v>
      </c>
      <c r="D106" t="s">
        <v>95</v>
      </c>
      <c r="E106" t="s">
        <v>21</v>
      </c>
      <c r="F106" t="s">
        <v>42</v>
      </c>
      <c r="G106" t="s">
        <v>43</v>
      </c>
      <c r="H106">
        <v>1</v>
      </c>
      <c r="I106">
        <f>_xlfn.XLOOKUP(G106, tablica!$R$3:$R$34, tablica!$T$3:$T$34)</f>
        <v>51</v>
      </c>
      <c r="J106">
        <f t="shared" si="1"/>
        <v>51</v>
      </c>
      <c r="K106" s="1">
        <v>43309.521527777775</v>
      </c>
      <c r="L106">
        <v>8888</v>
      </c>
      <c r="M106">
        <f>_xlfn.XLOOKUP(G106, tablica!$R$3:$R$34, tablica!$U$3:$U$34)</f>
        <v>11000433</v>
      </c>
      <c r="N106">
        <f>_xlfn.XLOOKUP(G106, tablica!$R$3:$R$34, tablica!$V$3:$V$34)</f>
        <v>101852761344</v>
      </c>
      <c r="O106">
        <v>1131980</v>
      </c>
      <c r="P106" t="s">
        <v>94</v>
      </c>
      <c r="Q106" t="s">
        <v>93</v>
      </c>
    </row>
    <row r="107" spans="1:17" x14ac:dyDescent="0.3">
      <c r="A107">
        <v>2004657532</v>
      </c>
      <c r="B107">
        <v>1</v>
      </c>
      <c r="C107">
        <v>524070900</v>
      </c>
      <c r="D107" t="s">
        <v>95</v>
      </c>
      <c r="E107" t="s">
        <v>18</v>
      </c>
      <c r="F107" t="s">
        <v>22</v>
      </c>
      <c r="G107" t="s">
        <v>33</v>
      </c>
      <c r="H107">
        <v>1</v>
      </c>
      <c r="I107">
        <f>_xlfn.XLOOKUP(G107, tablica!$R$3:$R$34, tablica!$T$3:$T$34)</f>
        <v>145</v>
      </c>
      <c r="J107">
        <f t="shared" si="1"/>
        <v>145</v>
      </c>
      <c r="K107" s="1">
        <v>43310.535416666666</v>
      </c>
      <c r="L107">
        <v>8888</v>
      </c>
      <c r="M107">
        <f>_xlfn.XLOOKUP(G107, tablica!$R$3:$R$34, tablica!$U$3:$U$34)</f>
        <v>11000269</v>
      </c>
      <c r="N107">
        <f>_xlfn.XLOOKUP(G107, tablica!$R$3:$R$34, tablica!$V$3:$V$34)</f>
        <v>363236906370</v>
      </c>
      <c r="O107">
        <v>1131980</v>
      </c>
      <c r="P107" t="s">
        <v>94</v>
      </c>
      <c r="Q107" t="s">
        <v>93</v>
      </c>
    </row>
    <row r="108" spans="1:17" x14ac:dyDescent="0.3">
      <c r="A108">
        <v>2004657533</v>
      </c>
      <c r="B108">
        <v>1</v>
      </c>
      <c r="C108">
        <v>524070900</v>
      </c>
      <c r="D108" t="s">
        <v>95</v>
      </c>
      <c r="E108" t="s">
        <v>18</v>
      </c>
      <c r="F108" t="s">
        <v>29</v>
      </c>
      <c r="G108" t="s">
        <v>32</v>
      </c>
      <c r="H108">
        <v>10</v>
      </c>
      <c r="I108">
        <f>_xlfn.XLOOKUP(G108, tablica!$R$3:$R$34, tablica!$T$3:$T$34)</f>
        <v>217</v>
      </c>
      <c r="J108">
        <f t="shared" si="1"/>
        <v>2170</v>
      </c>
      <c r="K108" s="1">
        <v>43311.526388888888</v>
      </c>
      <c r="L108">
        <v>8888</v>
      </c>
      <c r="M108">
        <f>_xlfn.XLOOKUP(G108, tablica!$R$3:$R$34, tablica!$U$3:$U$34)</f>
        <v>11000428</v>
      </c>
      <c r="N108">
        <f>_xlfn.XLOOKUP(G108, tablica!$R$3:$R$34, tablica!$V$3:$V$34)</f>
        <v>332966150556</v>
      </c>
      <c r="O108">
        <v>1131980</v>
      </c>
      <c r="P108" t="s">
        <v>94</v>
      </c>
      <c r="Q108" t="s">
        <v>93</v>
      </c>
    </row>
    <row r="109" spans="1:17" x14ac:dyDescent="0.3">
      <c r="A109">
        <v>2004657534</v>
      </c>
      <c r="B109">
        <v>1</v>
      </c>
      <c r="C109">
        <v>524071339</v>
      </c>
      <c r="D109" t="s">
        <v>95</v>
      </c>
      <c r="E109" t="s">
        <v>21</v>
      </c>
      <c r="F109" t="s">
        <v>22</v>
      </c>
      <c r="G109" t="s">
        <v>23</v>
      </c>
      <c r="H109">
        <v>1</v>
      </c>
      <c r="I109">
        <f>_xlfn.XLOOKUP(G109, tablica!$R$3:$R$34, tablica!$T$3:$T$34)</f>
        <v>169</v>
      </c>
      <c r="J109">
        <f t="shared" si="1"/>
        <v>169</v>
      </c>
      <c r="K109" s="1">
        <v>43316.258333333331</v>
      </c>
      <c r="L109">
        <v>8888</v>
      </c>
      <c r="M109">
        <f>_xlfn.XLOOKUP(G109, tablica!$R$3:$R$34, tablica!$U$3:$U$34)</f>
        <v>11000412</v>
      </c>
      <c r="N109">
        <f>_xlfn.XLOOKUP(G109, tablica!$R$3:$R$34, tablica!$V$3:$V$34)</f>
        <v>176527023908</v>
      </c>
      <c r="O109">
        <v>1131980</v>
      </c>
      <c r="P109" t="s">
        <v>94</v>
      </c>
      <c r="Q109" t="s">
        <v>93</v>
      </c>
    </row>
    <row r="110" spans="1:17" x14ac:dyDescent="0.3">
      <c r="A110">
        <v>2004657535</v>
      </c>
      <c r="B110">
        <v>1</v>
      </c>
      <c r="C110">
        <v>524071339</v>
      </c>
      <c r="D110" t="s">
        <v>95</v>
      </c>
      <c r="E110" t="s">
        <v>21</v>
      </c>
      <c r="F110" t="s">
        <v>19</v>
      </c>
      <c r="G110" t="s">
        <v>20</v>
      </c>
      <c r="H110">
        <v>1</v>
      </c>
      <c r="I110">
        <f>_xlfn.XLOOKUP(G110, tablica!$R$3:$R$34, tablica!$T$3:$T$34)</f>
        <v>50</v>
      </c>
      <c r="J110">
        <f t="shared" si="1"/>
        <v>50</v>
      </c>
      <c r="K110" s="1">
        <v>43316.258333333331</v>
      </c>
      <c r="L110">
        <v>8888</v>
      </c>
      <c r="M110">
        <f>_xlfn.XLOOKUP(G110, tablica!$R$3:$R$34, tablica!$U$3:$U$34)</f>
        <v>11000317</v>
      </c>
      <c r="N110">
        <f>_xlfn.XLOOKUP(G110, tablica!$R$3:$R$34, tablica!$V$3:$V$34)</f>
        <v>241391757902</v>
      </c>
      <c r="O110">
        <v>1131980</v>
      </c>
      <c r="P110" t="s">
        <v>94</v>
      </c>
      <c r="Q110" t="s">
        <v>93</v>
      </c>
    </row>
    <row r="111" spans="1:17" x14ac:dyDescent="0.3">
      <c r="A111">
        <v>2004657536</v>
      </c>
      <c r="B111">
        <v>1</v>
      </c>
      <c r="C111">
        <v>524071339</v>
      </c>
      <c r="D111" t="s">
        <v>95</v>
      </c>
      <c r="E111" t="s">
        <v>21</v>
      </c>
      <c r="F111" t="s">
        <v>22</v>
      </c>
      <c r="G111" t="s">
        <v>23</v>
      </c>
      <c r="H111">
        <v>1</v>
      </c>
      <c r="I111">
        <f>_xlfn.XLOOKUP(G111, tablica!$R$3:$R$34, tablica!$T$3:$T$34)</f>
        <v>169</v>
      </c>
      <c r="J111">
        <f t="shared" si="1"/>
        <v>169</v>
      </c>
      <c r="K111" s="1">
        <v>43316.559027777781</v>
      </c>
      <c r="L111">
        <v>8888</v>
      </c>
      <c r="M111">
        <f>_xlfn.XLOOKUP(G111, tablica!$R$3:$R$34, tablica!$U$3:$U$34)</f>
        <v>11000412</v>
      </c>
      <c r="N111">
        <f>_xlfn.XLOOKUP(G111, tablica!$R$3:$R$34, tablica!$V$3:$V$34)</f>
        <v>176527023908</v>
      </c>
      <c r="O111">
        <v>1131980</v>
      </c>
      <c r="P111" t="s">
        <v>94</v>
      </c>
      <c r="Q111" t="s">
        <v>93</v>
      </c>
    </row>
    <row r="112" spans="1:17" x14ac:dyDescent="0.3">
      <c r="A112">
        <v>2004657537</v>
      </c>
      <c r="B112">
        <v>1</v>
      </c>
      <c r="C112">
        <v>524071339</v>
      </c>
      <c r="D112" t="s">
        <v>95</v>
      </c>
      <c r="E112" t="s">
        <v>21</v>
      </c>
      <c r="F112" t="s">
        <v>19</v>
      </c>
      <c r="G112" t="s">
        <v>20</v>
      </c>
      <c r="H112">
        <v>1</v>
      </c>
      <c r="I112">
        <f>_xlfn.XLOOKUP(G112, tablica!$R$3:$R$34, tablica!$T$3:$T$34)</f>
        <v>50</v>
      </c>
      <c r="J112">
        <f t="shared" si="1"/>
        <v>50</v>
      </c>
      <c r="K112" s="1">
        <v>43316.559027777781</v>
      </c>
      <c r="L112">
        <v>8888</v>
      </c>
      <c r="M112">
        <f>_xlfn.XLOOKUP(G112, tablica!$R$3:$R$34, tablica!$U$3:$U$34)</f>
        <v>11000317</v>
      </c>
      <c r="N112">
        <f>_xlfn.XLOOKUP(G112, tablica!$R$3:$R$34, tablica!$V$3:$V$34)</f>
        <v>241391757902</v>
      </c>
      <c r="O112">
        <v>1131980</v>
      </c>
      <c r="P112" t="s">
        <v>94</v>
      </c>
      <c r="Q112" t="s">
        <v>93</v>
      </c>
    </row>
    <row r="113" spans="1:17" x14ac:dyDescent="0.3">
      <c r="A113">
        <v>2004657538</v>
      </c>
      <c r="B113">
        <v>1</v>
      </c>
      <c r="C113">
        <v>524071339</v>
      </c>
      <c r="D113" t="s">
        <v>95</v>
      </c>
      <c r="E113" t="s">
        <v>18</v>
      </c>
      <c r="F113" t="s">
        <v>54</v>
      </c>
      <c r="G113" t="s">
        <v>55</v>
      </c>
      <c r="H113">
        <v>1</v>
      </c>
      <c r="I113">
        <f>_xlfn.XLOOKUP(G113, tablica!$R$3:$R$34, tablica!$T$3:$T$34)</f>
        <v>271</v>
      </c>
      <c r="J113">
        <f t="shared" si="1"/>
        <v>271</v>
      </c>
      <c r="K113" s="1">
        <v>43316.563888888886</v>
      </c>
      <c r="L113">
        <v>8888</v>
      </c>
      <c r="M113">
        <f>_xlfn.XLOOKUP(G113, tablica!$R$3:$R$34, tablica!$U$3:$U$34)</f>
        <v>11000478</v>
      </c>
      <c r="N113">
        <f>_xlfn.XLOOKUP(G113, tablica!$R$3:$R$34, tablica!$V$3:$V$34)</f>
        <v>438889327432</v>
      </c>
      <c r="O113">
        <v>1131980</v>
      </c>
      <c r="P113" t="s">
        <v>94</v>
      </c>
      <c r="Q113" t="s">
        <v>93</v>
      </c>
    </row>
    <row r="114" spans="1:17" x14ac:dyDescent="0.3">
      <c r="A114">
        <v>2004657539</v>
      </c>
      <c r="B114">
        <v>1</v>
      </c>
      <c r="C114">
        <v>524071339</v>
      </c>
      <c r="D114" t="s">
        <v>95</v>
      </c>
      <c r="E114" t="s">
        <v>21</v>
      </c>
      <c r="F114" t="s">
        <v>22</v>
      </c>
      <c r="G114" t="s">
        <v>23</v>
      </c>
      <c r="H114">
        <v>1</v>
      </c>
      <c r="I114">
        <f>_xlfn.XLOOKUP(G114, tablica!$R$3:$R$34, tablica!$T$3:$T$34)</f>
        <v>169</v>
      </c>
      <c r="J114">
        <f t="shared" si="1"/>
        <v>169</v>
      </c>
      <c r="K114" s="1">
        <v>43317.338194444441</v>
      </c>
      <c r="L114">
        <v>8888</v>
      </c>
      <c r="M114">
        <f>_xlfn.XLOOKUP(G114, tablica!$R$3:$R$34, tablica!$U$3:$U$34)</f>
        <v>11000412</v>
      </c>
      <c r="N114">
        <f>_xlfn.XLOOKUP(G114, tablica!$R$3:$R$34, tablica!$V$3:$V$34)</f>
        <v>176527023908</v>
      </c>
      <c r="O114">
        <v>1131980</v>
      </c>
      <c r="P114" t="s">
        <v>94</v>
      </c>
      <c r="Q114" t="s">
        <v>93</v>
      </c>
    </row>
    <row r="115" spans="1:17" x14ac:dyDescent="0.3">
      <c r="A115">
        <v>2004657540</v>
      </c>
      <c r="B115">
        <v>1</v>
      </c>
      <c r="C115">
        <v>524071339</v>
      </c>
      <c r="D115" t="s">
        <v>95</v>
      </c>
      <c r="E115" t="s">
        <v>21</v>
      </c>
      <c r="F115" t="s">
        <v>19</v>
      </c>
      <c r="G115" t="s">
        <v>20</v>
      </c>
      <c r="H115">
        <v>1</v>
      </c>
      <c r="I115">
        <f>_xlfn.XLOOKUP(G115, tablica!$R$3:$R$34, tablica!$T$3:$T$34)</f>
        <v>50</v>
      </c>
      <c r="J115">
        <f t="shared" si="1"/>
        <v>50</v>
      </c>
      <c r="K115" s="1">
        <v>43317.338194444441</v>
      </c>
      <c r="L115">
        <v>8888</v>
      </c>
      <c r="M115">
        <f>_xlfn.XLOOKUP(G115, tablica!$R$3:$R$34, tablica!$U$3:$U$34)</f>
        <v>11000317</v>
      </c>
      <c r="N115">
        <f>_xlfn.XLOOKUP(G115, tablica!$R$3:$R$34, tablica!$V$3:$V$34)</f>
        <v>241391757902</v>
      </c>
      <c r="O115">
        <v>1131980</v>
      </c>
      <c r="P115" t="s">
        <v>94</v>
      </c>
      <c r="Q115" t="s">
        <v>93</v>
      </c>
    </row>
    <row r="116" spans="1:17" x14ac:dyDescent="0.3">
      <c r="A116">
        <v>2004657541</v>
      </c>
      <c r="B116">
        <v>1</v>
      </c>
      <c r="C116">
        <v>524071339</v>
      </c>
      <c r="D116" t="s">
        <v>95</v>
      </c>
      <c r="E116" t="s">
        <v>18</v>
      </c>
      <c r="F116" t="s">
        <v>42</v>
      </c>
      <c r="G116" t="s">
        <v>43</v>
      </c>
      <c r="H116">
        <v>1</v>
      </c>
      <c r="I116">
        <f>_xlfn.XLOOKUP(G116, tablica!$R$3:$R$34, tablica!$T$3:$T$34)</f>
        <v>51</v>
      </c>
      <c r="J116">
        <f t="shared" si="1"/>
        <v>51</v>
      </c>
      <c r="K116" s="1">
        <v>43318.26666666667</v>
      </c>
      <c r="L116">
        <v>8888</v>
      </c>
      <c r="M116">
        <f>_xlfn.XLOOKUP(G116, tablica!$R$3:$R$34, tablica!$U$3:$U$34)</f>
        <v>11000433</v>
      </c>
      <c r="N116">
        <f>_xlfn.XLOOKUP(G116, tablica!$R$3:$R$34, tablica!$V$3:$V$34)</f>
        <v>101852761344</v>
      </c>
      <c r="O116">
        <v>1131980</v>
      </c>
      <c r="P116" t="s">
        <v>94</v>
      </c>
      <c r="Q116" t="s">
        <v>93</v>
      </c>
    </row>
    <row r="117" spans="1:17" x14ac:dyDescent="0.3">
      <c r="A117">
        <v>2004657542</v>
      </c>
      <c r="B117">
        <v>1</v>
      </c>
      <c r="C117">
        <v>524071339</v>
      </c>
      <c r="D117" t="s">
        <v>95</v>
      </c>
      <c r="E117" t="s">
        <v>18</v>
      </c>
      <c r="F117" t="s">
        <v>36</v>
      </c>
      <c r="G117" t="s">
        <v>37</v>
      </c>
      <c r="H117">
        <v>5</v>
      </c>
      <c r="I117">
        <f>_xlfn.XLOOKUP(G117, tablica!$R$3:$R$34, tablica!$T$3:$T$34)</f>
        <v>86</v>
      </c>
      <c r="J117">
        <f t="shared" si="1"/>
        <v>430</v>
      </c>
      <c r="K117" s="1">
        <v>43319.493055555555</v>
      </c>
      <c r="L117">
        <v>8888</v>
      </c>
      <c r="M117">
        <f>_xlfn.XLOOKUP(G117, tablica!$R$3:$R$34, tablica!$U$3:$U$34)</f>
        <v>11000265</v>
      </c>
      <c r="N117">
        <f>_xlfn.XLOOKUP(G117, tablica!$R$3:$R$34, tablica!$V$3:$V$34)</f>
        <v>79046819988</v>
      </c>
      <c r="O117">
        <v>1131980</v>
      </c>
      <c r="P117" t="s">
        <v>94</v>
      </c>
      <c r="Q117" t="s">
        <v>93</v>
      </c>
    </row>
    <row r="118" spans="1:17" x14ac:dyDescent="0.3">
      <c r="A118">
        <v>2004657543</v>
      </c>
      <c r="B118">
        <v>1</v>
      </c>
      <c r="C118">
        <v>524071339</v>
      </c>
      <c r="D118" t="s">
        <v>95</v>
      </c>
      <c r="E118" t="s">
        <v>21</v>
      </c>
      <c r="F118" t="s">
        <v>22</v>
      </c>
      <c r="G118" t="s">
        <v>53</v>
      </c>
      <c r="H118">
        <v>1</v>
      </c>
      <c r="I118">
        <f>_xlfn.XLOOKUP(G118, tablica!$R$3:$R$34, tablica!$T$3:$T$34)</f>
        <v>131</v>
      </c>
      <c r="J118">
        <f t="shared" si="1"/>
        <v>131</v>
      </c>
      <c r="K118" s="1">
        <v>43325.598611111112</v>
      </c>
      <c r="L118">
        <v>8888</v>
      </c>
      <c r="M118">
        <f>_xlfn.XLOOKUP(G118, tablica!$R$3:$R$34, tablica!$U$3:$U$34)</f>
        <v>11000241</v>
      </c>
      <c r="N118">
        <f>_xlfn.XLOOKUP(G118, tablica!$R$3:$R$34, tablica!$V$3:$V$34)</f>
        <v>65225337712</v>
      </c>
      <c r="O118">
        <v>1131980</v>
      </c>
      <c r="P118" t="s">
        <v>94</v>
      </c>
      <c r="Q118" t="s">
        <v>93</v>
      </c>
    </row>
    <row r="119" spans="1:17" x14ac:dyDescent="0.3">
      <c r="A119">
        <v>2004657544</v>
      </c>
      <c r="B119">
        <v>1</v>
      </c>
      <c r="C119">
        <v>524071339</v>
      </c>
      <c r="D119" t="s">
        <v>95</v>
      </c>
      <c r="E119" t="s">
        <v>21</v>
      </c>
      <c r="F119" t="s">
        <v>22</v>
      </c>
      <c r="G119" t="s">
        <v>23</v>
      </c>
      <c r="H119">
        <v>1</v>
      </c>
      <c r="I119">
        <f>_xlfn.XLOOKUP(G119, tablica!$R$3:$R$34, tablica!$T$3:$T$34)</f>
        <v>169</v>
      </c>
      <c r="J119">
        <f t="shared" si="1"/>
        <v>169</v>
      </c>
      <c r="K119" s="1">
        <v>43331.326388888891</v>
      </c>
      <c r="L119">
        <v>8888</v>
      </c>
      <c r="M119">
        <f>_xlfn.XLOOKUP(G119, tablica!$R$3:$R$34, tablica!$U$3:$U$34)</f>
        <v>11000412</v>
      </c>
      <c r="N119">
        <f>_xlfn.XLOOKUP(G119, tablica!$R$3:$R$34, tablica!$V$3:$V$34)</f>
        <v>176527023908</v>
      </c>
      <c r="O119">
        <v>1131980</v>
      </c>
      <c r="P119" t="s">
        <v>94</v>
      </c>
      <c r="Q119" t="s">
        <v>93</v>
      </c>
    </row>
    <row r="120" spans="1:17" x14ac:dyDescent="0.3">
      <c r="A120">
        <v>2004657545</v>
      </c>
      <c r="B120">
        <v>1</v>
      </c>
      <c r="C120">
        <v>524071339</v>
      </c>
      <c r="D120" t="s">
        <v>95</v>
      </c>
      <c r="E120" t="s">
        <v>21</v>
      </c>
      <c r="F120" t="s">
        <v>22</v>
      </c>
      <c r="G120" t="s">
        <v>53</v>
      </c>
      <c r="H120">
        <v>1</v>
      </c>
      <c r="I120">
        <f>_xlfn.XLOOKUP(G120, tablica!$R$3:$R$34, tablica!$T$3:$T$34)</f>
        <v>131</v>
      </c>
      <c r="J120">
        <f t="shared" si="1"/>
        <v>131</v>
      </c>
      <c r="K120" s="1">
        <v>43331.32708333333</v>
      </c>
      <c r="L120">
        <v>8888</v>
      </c>
      <c r="M120">
        <f>_xlfn.XLOOKUP(G120, tablica!$R$3:$R$34, tablica!$U$3:$U$34)</f>
        <v>11000241</v>
      </c>
      <c r="N120">
        <f>_xlfn.XLOOKUP(G120, tablica!$R$3:$R$34, tablica!$V$3:$V$34)</f>
        <v>65225337712</v>
      </c>
      <c r="O120">
        <v>1131980</v>
      </c>
      <c r="P120" t="s">
        <v>94</v>
      </c>
      <c r="Q120" t="s">
        <v>93</v>
      </c>
    </row>
    <row r="121" spans="1:17" x14ac:dyDescent="0.3">
      <c r="A121">
        <v>2004657546</v>
      </c>
      <c r="B121">
        <v>1</v>
      </c>
      <c r="C121">
        <v>524071339</v>
      </c>
      <c r="D121" t="s">
        <v>95</v>
      </c>
      <c r="E121" t="s">
        <v>21</v>
      </c>
      <c r="F121" t="s">
        <v>54</v>
      </c>
      <c r="G121" t="s">
        <v>55</v>
      </c>
      <c r="H121">
        <v>1</v>
      </c>
      <c r="I121">
        <f>_xlfn.XLOOKUP(G121, tablica!$R$3:$R$34, tablica!$T$3:$T$34)</f>
        <v>271</v>
      </c>
      <c r="J121">
        <f t="shared" si="1"/>
        <v>271</v>
      </c>
      <c r="K121" s="1">
        <v>43331.32708333333</v>
      </c>
      <c r="L121">
        <v>8888</v>
      </c>
      <c r="M121">
        <f>_xlfn.XLOOKUP(G121, tablica!$R$3:$R$34, tablica!$U$3:$U$34)</f>
        <v>11000478</v>
      </c>
      <c r="N121">
        <f>_xlfn.XLOOKUP(G121, tablica!$R$3:$R$34, tablica!$V$3:$V$34)</f>
        <v>438889327432</v>
      </c>
      <c r="O121">
        <v>1131980</v>
      </c>
      <c r="P121" t="s">
        <v>94</v>
      </c>
      <c r="Q121" t="s">
        <v>93</v>
      </c>
    </row>
    <row r="122" spans="1:17" x14ac:dyDescent="0.3">
      <c r="A122">
        <v>2004657547</v>
      </c>
      <c r="B122">
        <v>1</v>
      </c>
      <c r="C122">
        <v>524071339</v>
      </c>
      <c r="D122" t="s">
        <v>95</v>
      </c>
      <c r="E122" t="s">
        <v>18</v>
      </c>
      <c r="F122" t="s">
        <v>29</v>
      </c>
      <c r="G122" t="s">
        <v>32</v>
      </c>
      <c r="H122">
        <v>10</v>
      </c>
      <c r="I122">
        <f>_xlfn.XLOOKUP(G122, tablica!$R$3:$R$34, tablica!$T$3:$T$34)</f>
        <v>217</v>
      </c>
      <c r="J122">
        <f t="shared" si="1"/>
        <v>2170</v>
      </c>
      <c r="K122" s="1">
        <v>43331.43472222222</v>
      </c>
      <c r="L122">
        <v>8888</v>
      </c>
      <c r="M122">
        <f>_xlfn.XLOOKUP(G122, tablica!$R$3:$R$34, tablica!$U$3:$U$34)</f>
        <v>11000428</v>
      </c>
      <c r="N122">
        <f>_xlfn.XLOOKUP(G122, tablica!$R$3:$R$34, tablica!$V$3:$V$34)</f>
        <v>332966150556</v>
      </c>
      <c r="O122">
        <v>1131980</v>
      </c>
      <c r="P122" t="s">
        <v>94</v>
      </c>
      <c r="Q122" t="s">
        <v>93</v>
      </c>
    </row>
    <row r="123" spans="1:17" x14ac:dyDescent="0.3">
      <c r="A123">
        <v>2004657548</v>
      </c>
      <c r="B123">
        <v>1</v>
      </c>
      <c r="C123">
        <v>524071339</v>
      </c>
      <c r="D123" t="s">
        <v>95</v>
      </c>
      <c r="E123" t="s">
        <v>18</v>
      </c>
      <c r="F123" t="s">
        <v>29</v>
      </c>
      <c r="G123" t="s">
        <v>30</v>
      </c>
      <c r="H123">
        <v>10</v>
      </c>
      <c r="I123">
        <f>_xlfn.XLOOKUP(G123, tablica!$R$3:$R$34, tablica!$T$3:$T$34)</f>
        <v>156</v>
      </c>
      <c r="J123">
        <f t="shared" si="1"/>
        <v>1560</v>
      </c>
      <c r="K123" s="1">
        <v>43331.435416666667</v>
      </c>
      <c r="L123">
        <v>8888</v>
      </c>
      <c r="M123">
        <f>_xlfn.XLOOKUP(G123, tablica!$R$3:$R$34, tablica!$U$3:$U$34)</f>
        <v>11000301</v>
      </c>
      <c r="N123">
        <f>_xlfn.XLOOKUP(G123, tablica!$R$3:$R$34, tablica!$V$3:$V$34)</f>
        <v>440331456754</v>
      </c>
      <c r="O123">
        <v>1131980</v>
      </c>
      <c r="P123" t="s">
        <v>94</v>
      </c>
      <c r="Q123" t="s">
        <v>93</v>
      </c>
    </row>
    <row r="124" spans="1:17" x14ac:dyDescent="0.3">
      <c r="A124">
        <v>2004657549</v>
      </c>
      <c r="B124">
        <v>1</v>
      </c>
      <c r="C124">
        <v>524071339</v>
      </c>
      <c r="D124" t="s">
        <v>95</v>
      </c>
      <c r="E124" t="s">
        <v>18</v>
      </c>
      <c r="F124" t="s">
        <v>25</v>
      </c>
      <c r="G124" t="s">
        <v>26</v>
      </c>
      <c r="H124">
        <v>1</v>
      </c>
      <c r="I124">
        <f>_xlfn.XLOOKUP(G124, tablica!$R$3:$R$34, tablica!$T$3:$T$34)</f>
        <v>81</v>
      </c>
      <c r="J124">
        <f t="shared" si="1"/>
        <v>81</v>
      </c>
      <c r="K124" s="1">
        <v>43331.629861111112</v>
      </c>
      <c r="L124">
        <v>8888</v>
      </c>
      <c r="M124">
        <f>_xlfn.XLOOKUP(G124, tablica!$R$3:$R$34, tablica!$U$3:$U$34)</f>
        <v>11000382</v>
      </c>
      <c r="N124">
        <f>_xlfn.XLOOKUP(G124, tablica!$R$3:$R$34, tablica!$V$3:$V$34)</f>
        <v>253569993627</v>
      </c>
      <c r="O124">
        <v>1131980</v>
      </c>
      <c r="P124" t="s">
        <v>94</v>
      </c>
      <c r="Q124" t="s">
        <v>93</v>
      </c>
    </row>
    <row r="125" spans="1:17" x14ac:dyDescent="0.3">
      <c r="A125">
        <v>2004657550</v>
      </c>
      <c r="B125">
        <v>1</v>
      </c>
      <c r="C125">
        <v>524071339</v>
      </c>
      <c r="D125" t="s">
        <v>95</v>
      </c>
      <c r="E125" t="s">
        <v>18</v>
      </c>
      <c r="F125" t="s">
        <v>29</v>
      </c>
      <c r="G125" t="s">
        <v>41</v>
      </c>
      <c r="H125">
        <v>10</v>
      </c>
      <c r="I125">
        <f>_xlfn.XLOOKUP(G125, tablica!$R$3:$R$34, tablica!$T$3:$T$34)</f>
        <v>208</v>
      </c>
      <c r="J125">
        <f t="shared" si="1"/>
        <v>2080</v>
      </c>
      <c r="K125" s="1">
        <v>43334.296527777777</v>
      </c>
      <c r="L125">
        <v>8888</v>
      </c>
      <c r="M125">
        <f>_xlfn.XLOOKUP(G125, tablica!$R$3:$R$34, tablica!$U$3:$U$34)</f>
        <v>11000364</v>
      </c>
      <c r="N125">
        <f>_xlfn.XLOOKUP(G125, tablica!$R$3:$R$34, tablica!$V$3:$V$34)</f>
        <v>437465821622</v>
      </c>
      <c r="O125">
        <v>1131980</v>
      </c>
      <c r="P125" t="s">
        <v>94</v>
      </c>
      <c r="Q125" t="s">
        <v>93</v>
      </c>
    </row>
    <row r="126" spans="1:17" x14ac:dyDescent="0.3">
      <c r="A126">
        <v>2004657551</v>
      </c>
      <c r="B126">
        <v>1</v>
      </c>
      <c r="C126">
        <v>524071339</v>
      </c>
      <c r="D126" t="s">
        <v>95</v>
      </c>
      <c r="E126" t="s">
        <v>18</v>
      </c>
      <c r="F126" t="s">
        <v>22</v>
      </c>
      <c r="G126" t="s">
        <v>60</v>
      </c>
      <c r="H126">
        <v>1</v>
      </c>
      <c r="I126">
        <f>_xlfn.XLOOKUP(G126, tablica!$R$3:$R$34, tablica!$T$3:$T$34)</f>
        <v>151</v>
      </c>
      <c r="J126">
        <f t="shared" si="1"/>
        <v>151</v>
      </c>
      <c r="K126" s="1">
        <v>43334.314583333333</v>
      </c>
      <c r="L126">
        <v>8888</v>
      </c>
      <c r="M126">
        <f>_xlfn.XLOOKUP(G126, tablica!$R$3:$R$34, tablica!$U$3:$U$34)</f>
        <v>11000217</v>
      </c>
      <c r="N126">
        <f>_xlfn.XLOOKUP(G126, tablica!$R$3:$R$34, tablica!$V$3:$V$34)</f>
        <v>248226542077</v>
      </c>
      <c r="O126">
        <v>1131980</v>
      </c>
      <c r="P126" t="s">
        <v>94</v>
      </c>
      <c r="Q126" t="s">
        <v>93</v>
      </c>
    </row>
    <row r="127" spans="1:17" x14ac:dyDescent="0.3">
      <c r="A127">
        <v>2004657552</v>
      </c>
      <c r="B127">
        <v>1</v>
      </c>
      <c r="C127">
        <v>524071339</v>
      </c>
      <c r="D127" t="s">
        <v>95</v>
      </c>
      <c r="E127" t="s">
        <v>18</v>
      </c>
      <c r="F127" t="s">
        <v>36</v>
      </c>
      <c r="G127" t="s">
        <v>37</v>
      </c>
      <c r="H127">
        <v>5</v>
      </c>
      <c r="I127">
        <f>_xlfn.XLOOKUP(G127, tablica!$R$3:$R$34, tablica!$T$3:$T$34)</f>
        <v>86</v>
      </c>
      <c r="J127">
        <f t="shared" si="1"/>
        <v>430</v>
      </c>
      <c r="K127" s="1">
        <v>43340.353472222225</v>
      </c>
      <c r="L127">
        <v>8888</v>
      </c>
      <c r="M127">
        <f>_xlfn.XLOOKUP(G127, tablica!$R$3:$R$34, tablica!$U$3:$U$34)</f>
        <v>11000265</v>
      </c>
      <c r="N127">
        <f>_xlfn.XLOOKUP(G127, tablica!$R$3:$R$34, tablica!$V$3:$V$34)</f>
        <v>79046819988</v>
      </c>
      <c r="O127">
        <v>1131980</v>
      </c>
      <c r="P127" t="s">
        <v>94</v>
      </c>
      <c r="Q127" t="s">
        <v>93</v>
      </c>
    </row>
    <row r="128" spans="1:17" x14ac:dyDescent="0.3">
      <c r="A128">
        <v>2004657553</v>
      </c>
      <c r="B128">
        <v>1</v>
      </c>
      <c r="C128">
        <v>524071339</v>
      </c>
      <c r="D128" t="s">
        <v>95</v>
      </c>
      <c r="E128" t="s">
        <v>21</v>
      </c>
      <c r="F128" t="s">
        <v>19</v>
      </c>
      <c r="G128" t="s">
        <v>51</v>
      </c>
      <c r="H128">
        <v>1</v>
      </c>
      <c r="I128">
        <f>_xlfn.XLOOKUP(G128, tablica!$R$3:$R$34, tablica!$T$3:$T$34)</f>
        <v>99</v>
      </c>
      <c r="J128">
        <f t="shared" si="1"/>
        <v>99</v>
      </c>
      <c r="K128" s="1">
        <v>43341.320833333331</v>
      </c>
      <c r="L128">
        <v>8888</v>
      </c>
      <c r="M128">
        <f>_xlfn.XLOOKUP(G128, tablica!$R$3:$R$34, tablica!$U$3:$U$34)</f>
        <v>11000495</v>
      </c>
      <c r="N128">
        <f>_xlfn.XLOOKUP(G128, tablica!$R$3:$R$34, tablica!$V$3:$V$34)</f>
        <v>490068000560</v>
      </c>
      <c r="O128">
        <v>1131980</v>
      </c>
      <c r="P128" t="s">
        <v>94</v>
      </c>
      <c r="Q128" t="s">
        <v>93</v>
      </c>
    </row>
    <row r="129" spans="1:17" x14ac:dyDescent="0.3">
      <c r="A129">
        <v>2004657554</v>
      </c>
      <c r="B129">
        <v>1</v>
      </c>
      <c r="C129">
        <v>524071339</v>
      </c>
      <c r="D129" t="s">
        <v>95</v>
      </c>
      <c r="E129" t="s">
        <v>18</v>
      </c>
      <c r="F129" t="s">
        <v>29</v>
      </c>
      <c r="G129" t="s">
        <v>32</v>
      </c>
      <c r="H129">
        <v>10</v>
      </c>
      <c r="I129">
        <f>_xlfn.XLOOKUP(G129, tablica!$R$3:$R$34, tablica!$T$3:$T$34)</f>
        <v>217</v>
      </c>
      <c r="J129">
        <f t="shared" si="1"/>
        <v>2170</v>
      </c>
      <c r="K129" s="1">
        <v>43341.37777777778</v>
      </c>
      <c r="L129">
        <v>8888</v>
      </c>
      <c r="M129">
        <f>_xlfn.XLOOKUP(G129, tablica!$R$3:$R$34, tablica!$U$3:$U$34)</f>
        <v>11000428</v>
      </c>
      <c r="N129">
        <f>_xlfn.XLOOKUP(G129, tablica!$R$3:$R$34, tablica!$V$3:$V$34)</f>
        <v>332966150556</v>
      </c>
      <c r="O129">
        <v>1131980</v>
      </c>
      <c r="P129" t="s">
        <v>94</v>
      </c>
      <c r="Q129" t="s">
        <v>93</v>
      </c>
    </row>
    <row r="130" spans="1:17" x14ac:dyDescent="0.3">
      <c r="A130">
        <v>2004657555</v>
      </c>
      <c r="B130">
        <v>1</v>
      </c>
      <c r="C130">
        <v>524071890</v>
      </c>
      <c r="D130" t="s">
        <v>95</v>
      </c>
      <c r="E130" t="s">
        <v>18</v>
      </c>
      <c r="F130" t="s">
        <v>25</v>
      </c>
      <c r="G130" t="s">
        <v>26</v>
      </c>
      <c r="H130">
        <v>1</v>
      </c>
      <c r="I130">
        <f>_xlfn.XLOOKUP(G130, tablica!$R$3:$R$34, tablica!$T$3:$T$34)</f>
        <v>81</v>
      </c>
      <c r="J130">
        <f t="shared" ref="J130:J193" si="2">H130*I130</f>
        <v>81</v>
      </c>
      <c r="K130" s="1">
        <v>43344.309027777781</v>
      </c>
      <c r="L130">
        <v>8888</v>
      </c>
      <c r="M130">
        <f>_xlfn.XLOOKUP(G130, tablica!$R$3:$R$34, tablica!$U$3:$U$34)</f>
        <v>11000382</v>
      </c>
      <c r="N130">
        <f>_xlfn.XLOOKUP(G130, tablica!$R$3:$R$34, tablica!$V$3:$V$34)</f>
        <v>253569993627</v>
      </c>
      <c r="O130">
        <v>1131980</v>
      </c>
      <c r="P130" t="s">
        <v>94</v>
      </c>
      <c r="Q130" t="s">
        <v>93</v>
      </c>
    </row>
    <row r="131" spans="1:17" x14ac:dyDescent="0.3">
      <c r="A131">
        <v>2004657556</v>
      </c>
      <c r="B131">
        <v>1</v>
      </c>
      <c r="C131">
        <v>524071890</v>
      </c>
      <c r="D131" t="s">
        <v>95</v>
      </c>
      <c r="E131" t="s">
        <v>21</v>
      </c>
      <c r="F131" t="s">
        <v>22</v>
      </c>
      <c r="G131" t="s">
        <v>23</v>
      </c>
      <c r="H131">
        <v>1</v>
      </c>
      <c r="I131">
        <f>_xlfn.XLOOKUP(G131, tablica!$R$3:$R$34, tablica!$T$3:$T$34)</f>
        <v>169</v>
      </c>
      <c r="J131">
        <f t="shared" si="2"/>
        <v>169</v>
      </c>
      <c r="K131" s="1">
        <v>43344.432638888888</v>
      </c>
      <c r="L131">
        <v>8888</v>
      </c>
      <c r="M131">
        <f>_xlfn.XLOOKUP(G131, tablica!$R$3:$R$34, tablica!$U$3:$U$34)</f>
        <v>11000412</v>
      </c>
      <c r="N131">
        <f>_xlfn.XLOOKUP(G131, tablica!$R$3:$R$34, tablica!$V$3:$V$34)</f>
        <v>176527023908</v>
      </c>
      <c r="O131">
        <v>1131980</v>
      </c>
      <c r="P131" t="s">
        <v>94</v>
      </c>
      <c r="Q131" t="s">
        <v>93</v>
      </c>
    </row>
    <row r="132" spans="1:17" x14ac:dyDescent="0.3">
      <c r="A132">
        <v>2004657557</v>
      </c>
      <c r="B132">
        <v>1</v>
      </c>
      <c r="C132">
        <v>524071890</v>
      </c>
      <c r="D132" t="s">
        <v>95</v>
      </c>
      <c r="E132" t="s">
        <v>21</v>
      </c>
      <c r="F132" t="s">
        <v>19</v>
      </c>
      <c r="G132" t="s">
        <v>20</v>
      </c>
      <c r="H132">
        <v>1</v>
      </c>
      <c r="I132">
        <f>_xlfn.XLOOKUP(G132, tablica!$R$3:$R$34, tablica!$T$3:$T$34)</f>
        <v>50</v>
      </c>
      <c r="J132">
        <f t="shared" si="2"/>
        <v>50</v>
      </c>
      <c r="K132" s="1">
        <v>43344.433333333334</v>
      </c>
      <c r="L132">
        <v>8888</v>
      </c>
      <c r="M132">
        <f>_xlfn.XLOOKUP(G132, tablica!$R$3:$R$34, tablica!$U$3:$U$34)</f>
        <v>11000317</v>
      </c>
      <c r="N132">
        <f>_xlfn.XLOOKUP(G132, tablica!$R$3:$R$34, tablica!$V$3:$V$34)</f>
        <v>241391757902</v>
      </c>
      <c r="O132">
        <v>1131980</v>
      </c>
      <c r="P132" t="s">
        <v>94</v>
      </c>
      <c r="Q132" t="s">
        <v>93</v>
      </c>
    </row>
    <row r="133" spans="1:17" x14ac:dyDescent="0.3">
      <c r="A133">
        <v>2004657558</v>
      </c>
      <c r="B133">
        <v>1</v>
      </c>
      <c r="C133">
        <v>524071890</v>
      </c>
      <c r="D133" t="s">
        <v>95</v>
      </c>
      <c r="E133" t="s">
        <v>21</v>
      </c>
      <c r="F133" t="s">
        <v>19</v>
      </c>
      <c r="G133" t="s">
        <v>20</v>
      </c>
      <c r="H133">
        <v>1</v>
      </c>
      <c r="I133">
        <f>_xlfn.XLOOKUP(G133, tablica!$R$3:$R$34, tablica!$T$3:$T$34)</f>
        <v>50</v>
      </c>
      <c r="J133">
        <f t="shared" si="2"/>
        <v>50</v>
      </c>
      <c r="K133" s="1">
        <v>43344.490972222222</v>
      </c>
      <c r="L133">
        <v>8888</v>
      </c>
      <c r="M133">
        <f>_xlfn.XLOOKUP(G133, tablica!$R$3:$R$34, tablica!$U$3:$U$34)</f>
        <v>11000317</v>
      </c>
      <c r="N133">
        <f>_xlfn.XLOOKUP(G133, tablica!$R$3:$R$34, tablica!$V$3:$V$34)</f>
        <v>241391757902</v>
      </c>
      <c r="O133">
        <v>1131980</v>
      </c>
      <c r="P133" t="s">
        <v>94</v>
      </c>
      <c r="Q133" t="s">
        <v>93</v>
      </c>
    </row>
    <row r="134" spans="1:17" x14ac:dyDescent="0.3">
      <c r="A134">
        <v>2004657559</v>
      </c>
      <c r="B134">
        <v>1</v>
      </c>
      <c r="C134">
        <v>524071890</v>
      </c>
      <c r="D134" t="s">
        <v>95</v>
      </c>
      <c r="E134" t="s">
        <v>21</v>
      </c>
      <c r="F134" t="s">
        <v>22</v>
      </c>
      <c r="G134" t="s">
        <v>33</v>
      </c>
      <c r="H134">
        <v>1</v>
      </c>
      <c r="I134">
        <f>_xlfn.XLOOKUP(G134, tablica!$R$3:$R$34, tablica!$T$3:$T$34)</f>
        <v>145</v>
      </c>
      <c r="J134">
        <f t="shared" si="2"/>
        <v>145</v>
      </c>
      <c r="K134" s="1">
        <v>43344.593055555553</v>
      </c>
      <c r="L134">
        <v>8888</v>
      </c>
      <c r="M134">
        <f>_xlfn.XLOOKUP(G134, tablica!$R$3:$R$34, tablica!$U$3:$U$34)</f>
        <v>11000269</v>
      </c>
      <c r="N134">
        <f>_xlfn.XLOOKUP(G134, tablica!$R$3:$R$34, tablica!$V$3:$V$34)</f>
        <v>363236906370</v>
      </c>
      <c r="O134">
        <v>1131980</v>
      </c>
      <c r="P134" t="s">
        <v>94</v>
      </c>
      <c r="Q134" t="s">
        <v>93</v>
      </c>
    </row>
    <row r="135" spans="1:17" x14ac:dyDescent="0.3">
      <c r="A135">
        <v>2004657560</v>
      </c>
      <c r="B135">
        <v>1</v>
      </c>
      <c r="C135">
        <v>524071890</v>
      </c>
      <c r="D135" t="s">
        <v>95</v>
      </c>
      <c r="E135" t="s">
        <v>21</v>
      </c>
      <c r="F135" t="s">
        <v>22</v>
      </c>
      <c r="G135" t="s">
        <v>33</v>
      </c>
      <c r="H135">
        <v>1</v>
      </c>
      <c r="I135">
        <f>_xlfn.XLOOKUP(G135, tablica!$R$3:$R$34, tablica!$T$3:$T$34)</f>
        <v>145</v>
      </c>
      <c r="J135">
        <f t="shared" si="2"/>
        <v>145</v>
      </c>
      <c r="K135" s="1">
        <v>43344.619444444441</v>
      </c>
      <c r="L135">
        <v>8888</v>
      </c>
      <c r="M135">
        <f>_xlfn.XLOOKUP(G135, tablica!$R$3:$R$34, tablica!$U$3:$U$34)</f>
        <v>11000269</v>
      </c>
      <c r="N135">
        <f>_xlfn.XLOOKUP(G135, tablica!$R$3:$R$34, tablica!$V$3:$V$34)</f>
        <v>363236906370</v>
      </c>
      <c r="O135">
        <v>1131980</v>
      </c>
      <c r="P135" t="s">
        <v>94</v>
      </c>
      <c r="Q135" t="s">
        <v>93</v>
      </c>
    </row>
    <row r="136" spans="1:17" x14ac:dyDescent="0.3">
      <c r="A136">
        <v>2004657561</v>
      </c>
      <c r="B136">
        <v>1</v>
      </c>
      <c r="C136">
        <v>524071890</v>
      </c>
      <c r="D136" t="s">
        <v>95</v>
      </c>
      <c r="E136" t="s">
        <v>18</v>
      </c>
      <c r="F136" t="s">
        <v>47</v>
      </c>
      <c r="G136" t="s">
        <v>77</v>
      </c>
      <c r="H136">
        <v>10</v>
      </c>
      <c r="I136">
        <f>_xlfn.XLOOKUP(G136, tablica!$R$3:$R$34, tablica!$T$3:$T$34)</f>
        <v>158</v>
      </c>
      <c r="J136">
        <f t="shared" si="2"/>
        <v>1580</v>
      </c>
      <c r="K136" s="1">
        <v>43344.739583333336</v>
      </c>
      <c r="L136">
        <v>8888</v>
      </c>
      <c r="M136">
        <f>_xlfn.XLOOKUP(G136, tablica!$R$3:$R$34, tablica!$U$3:$U$34)</f>
        <v>11000171</v>
      </c>
      <c r="N136">
        <f>_xlfn.XLOOKUP(G136, tablica!$R$3:$R$34, tablica!$V$3:$V$34)</f>
        <v>137061556926</v>
      </c>
      <c r="O136">
        <v>1131980</v>
      </c>
      <c r="P136" t="s">
        <v>94</v>
      </c>
      <c r="Q136" t="s">
        <v>93</v>
      </c>
    </row>
    <row r="137" spans="1:17" x14ac:dyDescent="0.3">
      <c r="A137">
        <v>2004657562</v>
      </c>
      <c r="B137">
        <v>1</v>
      </c>
      <c r="C137">
        <v>524071890</v>
      </c>
      <c r="D137" t="s">
        <v>95</v>
      </c>
      <c r="E137" t="s">
        <v>18</v>
      </c>
      <c r="F137" t="s">
        <v>47</v>
      </c>
      <c r="G137" t="s">
        <v>78</v>
      </c>
      <c r="H137">
        <v>10</v>
      </c>
      <c r="I137">
        <f>_xlfn.XLOOKUP(G137, tablica!$R$3:$R$34, tablica!$T$3:$T$34)</f>
        <v>78</v>
      </c>
      <c r="J137">
        <f t="shared" si="2"/>
        <v>780</v>
      </c>
      <c r="K137" s="1">
        <v>43344.739583333336</v>
      </c>
      <c r="L137">
        <v>8888</v>
      </c>
      <c r="M137">
        <f>_xlfn.XLOOKUP(G137, tablica!$R$3:$R$34, tablica!$U$3:$U$34)</f>
        <v>11000137</v>
      </c>
      <c r="N137">
        <f>_xlfn.XLOOKUP(G137, tablica!$R$3:$R$34, tablica!$V$3:$V$34)</f>
        <v>66309439958</v>
      </c>
      <c r="O137">
        <v>1131980</v>
      </c>
      <c r="P137" t="s">
        <v>94</v>
      </c>
      <c r="Q137" t="s">
        <v>93</v>
      </c>
    </row>
    <row r="138" spans="1:17" x14ac:dyDescent="0.3">
      <c r="A138">
        <v>2004657563</v>
      </c>
      <c r="B138">
        <v>1</v>
      </c>
      <c r="C138">
        <v>524071890</v>
      </c>
      <c r="D138" t="s">
        <v>95</v>
      </c>
      <c r="E138" t="s">
        <v>18</v>
      </c>
      <c r="F138" t="s">
        <v>29</v>
      </c>
      <c r="G138" t="s">
        <v>30</v>
      </c>
      <c r="H138">
        <v>10</v>
      </c>
      <c r="I138">
        <f>_xlfn.XLOOKUP(G138, tablica!$R$3:$R$34, tablica!$T$3:$T$34)</f>
        <v>156</v>
      </c>
      <c r="J138">
        <f t="shared" si="2"/>
        <v>1560</v>
      </c>
      <c r="K138" s="1">
        <v>43345.265277777777</v>
      </c>
      <c r="L138">
        <v>8888</v>
      </c>
      <c r="M138">
        <f>_xlfn.XLOOKUP(G138, tablica!$R$3:$R$34, tablica!$U$3:$U$34)</f>
        <v>11000301</v>
      </c>
      <c r="N138">
        <f>_xlfn.XLOOKUP(G138, tablica!$R$3:$R$34, tablica!$V$3:$V$34)</f>
        <v>440331456754</v>
      </c>
      <c r="O138">
        <v>1131980</v>
      </c>
      <c r="P138" t="s">
        <v>94</v>
      </c>
      <c r="Q138" t="s">
        <v>93</v>
      </c>
    </row>
    <row r="139" spans="1:17" x14ac:dyDescent="0.3">
      <c r="A139">
        <v>2004657564</v>
      </c>
      <c r="B139">
        <v>1</v>
      </c>
      <c r="C139">
        <v>524071890</v>
      </c>
      <c r="D139" t="s">
        <v>95</v>
      </c>
      <c r="E139" t="s">
        <v>18</v>
      </c>
      <c r="F139" t="s">
        <v>19</v>
      </c>
      <c r="G139" t="s">
        <v>20</v>
      </c>
      <c r="H139">
        <v>1</v>
      </c>
      <c r="I139">
        <f>_xlfn.XLOOKUP(G139, tablica!$R$3:$R$34, tablica!$T$3:$T$34)</f>
        <v>50</v>
      </c>
      <c r="J139">
        <f t="shared" si="2"/>
        <v>50</v>
      </c>
      <c r="K139" s="1">
        <v>43346.254166666666</v>
      </c>
      <c r="L139">
        <v>8888</v>
      </c>
      <c r="M139">
        <f>_xlfn.XLOOKUP(G139, tablica!$R$3:$R$34, tablica!$U$3:$U$34)</f>
        <v>11000317</v>
      </c>
      <c r="N139">
        <f>_xlfn.XLOOKUP(G139, tablica!$R$3:$R$34, tablica!$V$3:$V$34)</f>
        <v>241391757902</v>
      </c>
      <c r="O139">
        <v>1131980</v>
      </c>
      <c r="P139" t="s">
        <v>94</v>
      </c>
      <c r="Q139" t="s">
        <v>93</v>
      </c>
    </row>
    <row r="140" spans="1:17" x14ac:dyDescent="0.3">
      <c r="A140">
        <v>2004657565</v>
      </c>
      <c r="B140">
        <v>1</v>
      </c>
      <c r="C140">
        <v>524071890</v>
      </c>
      <c r="D140" t="s">
        <v>95</v>
      </c>
      <c r="E140" t="s">
        <v>18</v>
      </c>
      <c r="F140" t="s">
        <v>19</v>
      </c>
      <c r="G140" t="s">
        <v>20</v>
      </c>
      <c r="H140">
        <v>1</v>
      </c>
      <c r="I140">
        <f>_xlfn.XLOOKUP(G140, tablica!$R$3:$R$34, tablica!$T$3:$T$34)</f>
        <v>50</v>
      </c>
      <c r="J140">
        <f t="shared" si="2"/>
        <v>50</v>
      </c>
      <c r="K140" s="1">
        <v>43347.281944444447</v>
      </c>
      <c r="L140">
        <v>8888</v>
      </c>
      <c r="M140">
        <f>_xlfn.XLOOKUP(G140, tablica!$R$3:$R$34, tablica!$U$3:$U$34)</f>
        <v>11000317</v>
      </c>
      <c r="N140">
        <f>_xlfn.XLOOKUP(G140, tablica!$R$3:$R$34, tablica!$V$3:$V$34)</f>
        <v>241391757902</v>
      </c>
      <c r="O140">
        <v>1131980</v>
      </c>
      <c r="P140" t="s">
        <v>94</v>
      </c>
      <c r="Q140" t="s">
        <v>93</v>
      </c>
    </row>
    <row r="141" spans="1:17" x14ac:dyDescent="0.3">
      <c r="A141">
        <v>2004657566</v>
      </c>
      <c r="B141">
        <v>1</v>
      </c>
      <c r="C141">
        <v>524071890</v>
      </c>
      <c r="D141" t="s">
        <v>95</v>
      </c>
      <c r="E141" t="s">
        <v>18</v>
      </c>
      <c r="F141" t="s">
        <v>29</v>
      </c>
      <c r="G141" t="s">
        <v>39</v>
      </c>
      <c r="H141">
        <v>10</v>
      </c>
      <c r="I141">
        <f>_xlfn.XLOOKUP(G141, tablica!$R$3:$R$34, tablica!$T$3:$T$34)</f>
        <v>127</v>
      </c>
      <c r="J141">
        <f t="shared" si="2"/>
        <v>1270</v>
      </c>
      <c r="K141" s="1">
        <v>43347.53125</v>
      </c>
      <c r="L141">
        <v>8888</v>
      </c>
      <c r="M141">
        <f>_xlfn.XLOOKUP(G141, tablica!$R$3:$R$34, tablica!$U$3:$U$34)</f>
        <v>11000307</v>
      </c>
      <c r="N141">
        <f>_xlfn.XLOOKUP(G141, tablica!$R$3:$R$34, tablica!$V$3:$V$34)</f>
        <v>488714211366</v>
      </c>
      <c r="O141">
        <v>1131980</v>
      </c>
      <c r="P141" t="s">
        <v>94</v>
      </c>
      <c r="Q141" t="s">
        <v>93</v>
      </c>
    </row>
    <row r="142" spans="1:17" x14ac:dyDescent="0.3">
      <c r="A142">
        <v>2004657567</v>
      </c>
      <c r="B142">
        <v>1</v>
      </c>
      <c r="C142">
        <v>524071890</v>
      </c>
      <c r="D142" t="s">
        <v>95</v>
      </c>
      <c r="E142" t="s">
        <v>18</v>
      </c>
      <c r="F142" t="s">
        <v>62</v>
      </c>
      <c r="G142" t="s">
        <v>81</v>
      </c>
      <c r="H142">
        <v>1</v>
      </c>
      <c r="I142">
        <f>_xlfn.XLOOKUP(G142, tablica!$R$3:$R$34, tablica!$T$3:$T$34)</f>
        <v>188</v>
      </c>
      <c r="J142">
        <f t="shared" si="2"/>
        <v>188</v>
      </c>
      <c r="K142" s="1">
        <v>43352.494444444441</v>
      </c>
      <c r="L142">
        <v>8888</v>
      </c>
      <c r="M142">
        <f>_xlfn.XLOOKUP(G142, tablica!$R$3:$R$34, tablica!$U$3:$U$34)</f>
        <v>11000374</v>
      </c>
      <c r="N142">
        <f>_xlfn.XLOOKUP(G142, tablica!$R$3:$R$34, tablica!$V$3:$V$34)</f>
        <v>64578011490</v>
      </c>
      <c r="O142">
        <v>1131980</v>
      </c>
      <c r="P142" t="s">
        <v>94</v>
      </c>
      <c r="Q142" t="s">
        <v>93</v>
      </c>
    </row>
    <row r="143" spans="1:17" x14ac:dyDescent="0.3">
      <c r="A143">
        <v>2004657568</v>
      </c>
      <c r="B143">
        <v>1</v>
      </c>
      <c r="C143">
        <v>524071890</v>
      </c>
      <c r="D143" t="s">
        <v>95</v>
      </c>
      <c r="E143" t="s">
        <v>18</v>
      </c>
      <c r="F143" t="s">
        <v>62</v>
      </c>
      <c r="G143" t="s">
        <v>81</v>
      </c>
      <c r="H143">
        <v>1</v>
      </c>
      <c r="I143">
        <f>_xlfn.XLOOKUP(G143, tablica!$R$3:$R$34, tablica!$T$3:$T$34)</f>
        <v>188</v>
      </c>
      <c r="J143">
        <f t="shared" si="2"/>
        <v>188</v>
      </c>
      <c r="K143" s="1">
        <v>43352.508333333331</v>
      </c>
      <c r="L143">
        <v>8888</v>
      </c>
      <c r="M143">
        <f>_xlfn.XLOOKUP(G143, tablica!$R$3:$R$34, tablica!$U$3:$U$34)</f>
        <v>11000374</v>
      </c>
      <c r="N143">
        <f>_xlfn.XLOOKUP(G143, tablica!$R$3:$R$34, tablica!$V$3:$V$34)</f>
        <v>64578011490</v>
      </c>
      <c r="O143">
        <v>1131980</v>
      </c>
      <c r="P143" t="s">
        <v>94</v>
      </c>
      <c r="Q143" t="s">
        <v>93</v>
      </c>
    </row>
    <row r="144" spans="1:17" x14ac:dyDescent="0.3">
      <c r="A144">
        <v>2004657569</v>
      </c>
      <c r="B144">
        <v>1</v>
      </c>
      <c r="C144">
        <v>524071890</v>
      </c>
      <c r="D144" t="s">
        <v>95</v>
      </c>
      <c r="E144" t="s">
        <v>18</v>
      </c>
      <c r="F144" t="s">
        <v>22</v>
      </c>
      <c r="G144" t="s">
        <v>33</v>
      </c>
      <c r="H144">
        <v>1</v>
      </c>
      <c r="I144">
        <f>_xlfn.XLOOKUP(G144, tablica!$R$3:$R$34, tablica!$T$3:$T$34)</f>
        <v>145</v>
      </c>
      <c r="J144">
        <f t="shared" si="2"/>
        <v>145</v>
      </c>
      <c r="K144" s="1">
        <v>43353.526388888888</v>
      </c>
      <c r="L144">
        <v>8888</v>
      </c>
      <c r="M144">
        <f>_xlfn.XLOOKUP(G144, tablica!$R$3:$R$34, tablica!$U$3:$U$34)</f>
        <v>11000269</v>
      </c>
      <c r="N144">
        <f>_xlfn.XLOOKUP(G144, tablica!$R$3:$R$34, tablica!$V$3:$V$34)</f>
        <v>363236906370</v>
      </c>
      <c r="O144">
        <v>1131980</v>
      </c>
      <c r="P144" t="s">
        <v>94</v>
      </c>
      <c r="Q144" t="s">
        <v>93</v>
      </c>
    </row>
    <row r="145" spans="1:17" x14ac:dyDescent="0.3">
      <c r="A145">
        <v>2004657570</v>
      </c>
      <c r="B145">
        <v>1</v>
      </c>
      <c r="C145">
        <v>524071890</v>
      </c>
      <c r="D145" t="s">
        <v>95</v>
      </c>
      <c r="E145" t="s">
        <v>18</v>
      </c>
      <c r="F145" t="s">
        <v>29</v>
      </c>
      <c r="G145" t="s">
        <v>32</v>
      </c>
      <c r="H145">
        <v>10</v>
      </c>
      <c r="I145">
        <f>_xlfn.XLOOKUP(G145, tablica!$R$3:$R$34, tablica!$T$3:$T$34)</f>
        <v>217</v>
      </c>
      <c r="J145">
        <f t="shared" si="2"/>
        <v>2170</v>
      </c>
      <c r="K145" s="1">
        <v>43354.32708333333</v>
      </c>
      <c r="L145">
        <v>8888</v>
      </c>
      <c r="M145">
        <f>_xlfn.XLOOKUP(G145, tablica!$R$3:$R$34, tablica!$U$3:$U$34)</f>
        <v>11000428</v>
      </c>
      <c r="N145">
        <f>_xlfn.XLOOKUP(G145, tablica!$R$3:$R$34, tablica!$V$3:$V$34)</f>
        <v>332966150556</v>
      </c>
      <c r="O145">
        <v>1131980</v>
      </c>
      <c r="P145" t="s">
        <v>94</v>
      </c>
      <c r="Q145" t="s">
        <v>93</v>
      </c>
    </row>
    <row r="146" spans="1:17" x14ac:dyDescent="0.3">
      <c r="A146">
        <v>2004657571</v>
      </c>
      <c r="B146">
        <v>1</v>
      </c>
      <c r="C146">
        <v>524071890</v>
      </c>
      <c r="D146" t="s">
        <v>95</v>
      </c>
      <c r="E146" t="s">
        <v>18</v>
      </c>
      <c r="F146" t="s">
        <v>22</v>
      </c>
      <c r="G146" t="s">
        <v>23</v>
      </c>
      <c r="H146">
        <v>1</v>
      </c>
      <c r="I146">
        <f>_xlfn.XLOOKUP(G146, tablica!$R$3:$R$34, tablica!$T$3:$T$34)</f>
        <v>169</v>
      </c>
      <c r="J146">
        <f t="shared" si="2"/>
        <v>169</v>
      </c>
      <c r="K146" s="1">
        <v>43355.294444444444</v>
      </c>
      <c r="L146">
        <v>8888</v>
      </c>
      <c r="M146">
        <f>_xlfn.XLOOKUP(G146, tablica!$R$3:$R$34, tablica!$U$3:$U$34)</f>
        <v>11000412</v>
      </c>
      <c r="N146">
        <f>_xlfn.XLOOKUP(G146, tablica!$R$3:$R$34, tablica!$V$3:$V$34)</f>
        <v>176527023908</v>
      </c>
      <c r="O146">
        <v>1131980</v>
      </c>
      <c r="P146" t="s">
        <v>94</v>
      </c>
      <c r="Q146" t="s">
        <v>93</v>
      </c>
    </row>
    <row r="147" spans="1:17" x14ac:dyDescent="0.3">
      <c r="A147">
        <v>2004657572</v>
      </c>
      <c r="B147">
        <v>1</v>
      </c>
      <c r="C147">
        <v>524071890</v>
      </c>
      <c r="D147" t="s">
        <v>95</v>
      </c>
      <c r="E147" t="s">
        <v>18</v>
      </c>
      <c r="F147" t="s">
        <v>19</v>
      </c>
      <c r="G147" t="s">
        <v>20</v>
      </c>
      <c r="H147">
        <v>1</v>
      </c>
      <c r="I147">
        <f>_xlfn.XLOOKUP(G147, tablica!$R$3:$R$34, tablica!$T$3:$T$34)</f>
        <v>50</v>
      </c>
      <c r="J147">
        <f t="shared" si="2"/>
        <v>50</v>
      </c>
      <c r="K147" s="1">
        <v>43355.294444444444</v>
      </c>
      <c r="L147">
        <v>8888</v>
      </c>
      <c r="M147">
        <f>_xlfn.XLOOKUP(G147, tablica!$R$3:$R$34, tablica!$U$3:$U$34)</f>
        <v>11000317</v>
      </c>
      <c r="N147">
        <f>_xlfn.XLOOKUP(G147, tablica!$R$3:$R$34, tablica!$V$3:$V$34)</f>
        <v>241391757902</v>
      </c>
      <c r="O147">
        <v>1131980</v>
      </c>
      <c r="P147" t="s">
        <v>94</v>
      </c>
      <c r="Q147" t="s">
        <v>93</v>
      </c>
    </row>
    <row r="148" spans="1:17" x14ac:dyDescent="0.3">
      <c r="A148">
        <v>2004657573</v>
      </c>
      <c r="B148">
        <v>1</v>
      </c>
      <c r="C148">
        <v>524071890</v>
      </c>
      <c r="D148" t="s">
        <v>95</v>
      </c>
      <c r="E148" t="s">
        <v>18</v>
      </c>
      <c r="F148" t="s">
        <v>36</v>
      </c>
      <c r="G148" t="s">
        <v>37</v>
      </c>
      <c r="H148">
        <v>5</v>
      </c>
      <c r="I148">
        <f>_xlfn.XLOOKUP(G148, tablica!$R$3:$R$34, tablica!$T$3:$T$34)</f>
        <v>86</v>
      </c>
      <c r="J148">
        <f t="shared" si="2"/>
        <v>430</v>
      </c>
      <c r="K148" s="1">
        <v>43358.510416666664</v>
      </c>
      <c r="L148">
        <v>8888</v>
      </c>
      <c r="M148">
        <f>_xlfn.XLOOKUP(G148, tablica!$R$3:$R$34, tablica!$U$3:$U$34)</f>
        <v>11000265</v>
      </c>
      <c r="N148">
        <f>_xlfn.XLOOKUP(G148, tablica!$R$3:$R$34, tablica!$V$3:$V$34)</f>
        <v>79046819988</v>
      </c>
      <c r="O148">
        <v>1131980</v>
      </c>
      <c r="P148" t="s">
        <v>94</v>
      </c>
      <c r="Q148" t="s">
        <v>93</v>
      </c>
    </row>
    <row r="149" spans="1:17" x14ac:dyDescent="0.3">
      <c r="A149">
        <v>2004657574</v>
      </c>
      <c r="B149">
        <v>1</v>
      </c>
      <c r="C149">
        <v>524071890</v>
      </c>
      <c r="D149" t="s">
        <v>95</v>
      </c>
      <c r="E149" t="s">
        <v>18</v>
      </c>
      <c r="F149" t="s">
        <v>29</v>
      </c>
      <c r="G149" t="s">
        <v>41</v>
      </c>
      <c r="H149">
        <v>10</v>
      </c>
      <c r="I149">
        <f>_xlfn.XLOOKUP(G149, tablica!$R$3:$R$34, tablica!$T$3:$T$34)</f>
        <v>208</v>
      </c>
      <c r="J149">
        <f t="shared" si="2"/>
        <v>2080</v>
      </c>
      <c r="K149" s="1">
        <v>43358.617361111108</v>
      </c>
      <c r="L149">
        <v>8888</v>
      </c>
      <c r="M149">
        <f>_xlfn.XLOOKUP(G149, tablica!$R$3:$R$34, tablica!$U$3:$U$34)</f>
        <v>11000364</v>
      </c>
      <c r="N149">
        <f>_xlfn.XLOOKUP(G149, tablica!$R$3:$R$34, tablica!$V$3:$V$34)</f>
        <v>437465821622</v>
      </c>
      <c r="O149">
        <v>1131980</v>
      </c>
      <c r="P149" t="s">
        <v>94</v>
      </c>
      <c r="Q149" t="s">
        <v>93</v>
      </c>
    </row>
    <row r="150" spans="1:17" x14ac:dyDescent="0.3">
      <c r="A150">
        <v>2004657575</v>
      </c>
      <c r="B150">
        <v>1</v>
      </c>
      <c r="C150">
        <v>524071890</v>
      </c>
      <c r="D150" t="s">
        <v>95</v>
      </c>
      <c r="E150" t="s">
        <v>21</v>
      </c>
      <c r="F150" t="s">
        <v>25</v>
      </c>
      <c r="G150" t="s">
        <v>26</v>
      </c>
      <c r="H150">
        <v>1</v>
      </c>
      <c r="I150">
        <f>_xlfn.XLOOKUP(G150, tablica!$R$3:$R$34, tablica!$T$3:$T$34)</f>
        <v>81</v>
      </c>
      <c r="J150">
        <f t="shared" si="2"/>
        <v>81</v>
      </c>
      <c r="K150" s="1">
        <v>43358.706250000003</v>
      </c>
      <c r="L150">
        <v>8888</v>
      </c>
      <c r="M150">
        <f>_xlfn.XLOOKUP(G150, tablica!$R$3:$R$34, tablica!$U$3:$U$34)</f>
        <v>11000382</v>
      </c>
      <c r="N150">
        <f>_xlfn.XLOOKUP(G150, tablica!$R$3:$R$34, tablica!$V$3:$V$34)</f>
        <v>253569993627</v>
      </c>
      <c r="O150">
        <v>1131980</v>
      </c>
      <c r="P150" t="s">
        <v>94</v>
      </c>
      <c r="Q150" t="s">
        <v>93</v>
      </c>
    </row>
    <row r="151" spans="1:17" x14ac:dyDescent="0.3">
      <c r="A151">
        <v>2004657576</v>
      </c>
      <c r="B151">
        <v>1</v>
      </c>
      <c r="C151">
        <v>524071890</v>
      </c>
      <c r="D151" t="s">
        <v>95</v>
      </c>
      <c r="E151" t="s">
        <v>21</v>
      </c>
      <c r="F151" t="s">
        <v>22</v>
      </c>
      <c r="G151" t="s">
        <v>53</v>
      </c>
      <c r="H151">
        <v>1</v>
      </c>
      <c r="I151">
        <f>_xlfn.XLOOKUP(G151, tablica!$R$3:$R$34, tablica!$T$3:$T$34)</f>
        <v>131</v>
      </c>
      <c r="J151">
        <f t="shared" si="2"/>
        <v>131</v>
      </c>
      <c r="K151" s="1">
        <v>43359.335416666669</v>
      </c>
      <c r="L151">
        <v>8888</v>
      </c>
      <c r="M151">
        <f>_xlfn.XLOOKUP(G151, tablica!$R$3:$R$34, tablica!$U$3:$U$34)</f>
        <v>11000241</v>
      </c>
      <c r="N151">
        <f>_xlfn.XLOOKUP(G151, tablica!$R$3:$R$34, tablica!$V$3:$V$34)</f>
        <v>65225337712</v>
      </c>
      <c r="O151">
        <v>1131980</v>
      </c>
      <c r="P151" t="s">
        <v>94</v>
      </c>
      <c r="Q151" t="s">
        <v>93</v>
      </c>
    </row>
    <row r="152" spans="1:17" x14ac:dyDescent="0.3">
      <c r="A152">
        <v>2004657577</v>
      </c>
      <c r="B152">
        <v>1</v>
      </c>
      <c r="C152">
        <v>524071890</v>
      </c>
      <c r="D152" t="s">
        <v>95</v>
      </c>
      <c r="E152" t="s">
        <v>18</v>
      </c>
      <c r="F152" t="s">
        <v>29</v>
      </c>
      <c r="G152" t="s">
        <v>30</v>
      </c>
      <c r="H152">
        <v>10</v>
      </c>
      <c r="I152">
        <f>_xlfn.XLOOKUP(G152, tablica!$R$3:$R$34, tablica!$T$3:$T$34)</f>
        <v>156</v>
      </c>
      <c r="J152">
        <f t="shared" si="2"/>
        <v>1560</v>
      </c>
      <c r="K152" s="1">
        <v>43359.448611111111</v>
      </c>
      <c r="L152">
        <v>8888</v>
      </c>
      <c r="M152">
        <f>_xlfn.XLOOKUP(G152, tablica!$R$3:$R$34, tablica!$U$3:$U$34)</f>
        <v>11000301</v>
      </c>
      <c r="N152">
        <f>_xlfn.XLOOKUP(G152, tablica!$R$3:$R$34, tablica!$V$3:$V$34)</f>
        <v>440331456754</v>
      </c>
      <c r="O152">
        <v>1131980</v>
      </c>
      <c r="P152" t="s">
        <v>94</v>
      </c>
      <c r="Q152" t="s">
        <v>93</v>
      </c>
    </row>
    <row r="153" spans="1:17" x14ac:dyDescent="0.3">
      <c r="A153">
        <v>2004657578</v>
      </c>
      <c r="B153">
        <v>1</v>
      </c>
      <c r="C153">
        <v>524071890</v>
      </c>
      <c r="D153" t="s">
        <v>95</v>
      </c>
      <c r="E153" t="s">
        <v>21</v>
      </c>
      <c r="F153" t="s">
        <v>25</v>
      </c>
      <c r="G153" t="s">
        <v>26</v>
      </c>
      <c r="H153">
        <v>1</v>
      </c>
      <c r="I153">
        <f>_xlfn.XLOOKUP(G153, tablica!$R$3:$R$34, tablica!$T$3:$T$34)</f>
        <v>81</v>
      </c>
      <c r="J153">
        <f t="shared" si="2"/>
        <v>81</v>
      </c>
      <c r="K153" s="1">
        <v>43360.48541666667</v>
      </c>
      <c r="L153">
        <v>8888</v>
      </c>
      <c r="M153">
        <f>_xlfn.XLOOKUP(G153, tablica!$R$3:$R$34, tablica!$U$3:$U$34)</f>
        <v>11000382</v>
      </c>
      <c r="N153">
        <f>_xlfn.XLOOKUP(G153, tablica!$R$3:$R$34, tablica!$V$3:$V$34)</f>
        <v>253569993627</v>
      </c>
      <c r="O153">
        <v>1131980</v>
      </c>
      <c r="P153" t="s">
        <v>94</v>
      </c>
      <c r="Q153" t="s">
        <v>93</v>
      </c>
    </row>
    <row r="154" spans="1:17" x14ac:dyDescent="0.3">
      <c r="A154">
        <v>2004657579</v>
      </c>
      <c r="B154">
        <v>1</v>
      </c>
      <c r="C154">
        <v>524071890</v>
      </c>
      <c r="D154" t="s">
        <v>95</v>
      </c>
      <c r="E154" t="s">
        <v>18</v>
      </c>
      <c r="F154" t="s">
        <v>22</v>
      </c>
      <c r="G154" t="s">
        <v>83</v>
      </c>
      <c r="H154">
        <v>1</v>
      </c>
      <c r="I154">
        <f>_xlfn.XLOOKUP(G154, tablica!$R$3:$R$34, tablica!$T$3:$T$34)</f>
        <v>269</v>
      </c>
      <c r="J154">
        <f t="shared" si="2"/>
        <v>269</v>
      </c>
      <c r="K154" s="1">
        <v>43360.509027777778</v>
      </c>
      <c r="L154">
        <v>8888</v>
      </c>
      <c r="M154">
        <f>_xlfn.XLOOKUP(G154, tablica!$R$3:$R$34, tablica!$U$3:$U$34)</f>
        <v>11000407</v>
      </c>
      <c r="N154">
        <f>_xlfn.XLOOKUP(G154, tablica!$R$3:$R$34, tablica!$V$3:$V$34)</f>
        <v>375370388922</v>
      </c>
      <c r="O154">
        <v>1131980</v>
      </c>
      <c r="P154" t="s">
        <v>94</v>
      </c>
      <c r="Q154" t="s">
        <v>93</v>
      </c>
    </row>
    <row r="155" spans="1:17" x14ac:dyDescent="0.3">
      <c r="A155">
        <v>2004657580</v>
      </c>
      <c r="B155">
        <v>1</v>
      </c>
      <c r="C155">
        <v>524071890</v>
      </c>
      <c r="D155" t="s">
        <v>95</v>
      </c>
      <c r="E155" t="s">
        <v>18</v>
      </c>
      <c r="F155" t="s">
        <v>29</v>
      </c>
      <c r="G155" t="s">
        <v>32</v>
      </c>
      <c r="H155">
        <v>10</v>
      </c>
      <c r="I155">
        <f>_xlfn.XLOOKUP(G155, tablica!$R$3:$R$34, tablica!$T$3:$T$34)</f>
        <v>217</v>
      </c>
      <c r="J155">
        <f t="shared" si="2"/>
        <v>2170</v>
      </c>
      <c r="K155" s="1">
        <v>43361.377083333333</v>
      </c>
      <c r="L155">
        <v>8888</v>
      </c>
      <c r="M155">
        <f>_xlfn.XLOOKUP(G155, tablica!$R$3:$R$34, tablica!$U$3:$U$34)</f>
        <v>11000428</v>
      </c>
      <c r="N155">
        <f>_xlfn.XLOOKUP(G155, tablica!$R$3:$R$34, tablica!$V$3:$V$34)</f>
        <v>332966150556</v>
      </c>
      <c r="O155">
        <v>1131980</v>
      </c>
      <c r="P155" t="s">
        <v>94</v>
      </c>
      <c r="Q155" t="s">
        <v>93</v>
      </c>
    </row>
    <row r="156" spans="1:17" x14ac:dyDescent="0.3">
      <c r="A156">
        <v>2004657581</v>
      </c>
      <c r="B156">
        <v>1</v>
      </c>
      <c r="C156">
        <v>524071890</v>
      </c>
      <c r="D156" t="s">
        <v>95</v>
      </c>
      <c r="E156" t="s">
        <v>18</v>
      </c>
      <c r="F156" t="s">
        <v>22</v>
      </c>
      <c r="G156" t="s">
        <v>33</v>
      </c>
      <c r="H156">
        <v>1</v>
      </c>
      <c r="I156">
        <f>_xlfn.XLOOKUP(G156, tablica!$R$3:$R$34, tablica!$T$3:$T$34)</f>
        <v>145</v>
      </c>
      <c r="J156">
        <f t="shared" si="2"/>
        <v>145</v>
      </c>
      <c r="K156" s="1">
        <v>43361.37777777778</v>
      </c>
      <c r="L156">
        <v>8888</v>
      </c>
      <c r="M156">
        <f>_xlfn.XLOOKUP(G156, tablica!$R$3:$R$34, tablica!$U$3:$U$34)</f>
        <v>11000269</v>
      </c>
      <c r="N156">
        <f>_xlfn.XLOOKUP(G156, tablica!$R$3:$R$34, tablica!$V$3:$V$34)</f>
        <v>363236906370</v>
      </c>
      <c r="O156">
        <v>1131980</v>
      </c>
      <c r="P156" t="s">
        <v>94</v>
      </c>
      <c r="Q156" t="s">
        <v>93</v>
      </c>
    </row>
    <row r="157" spans="1:17" x14ac:dyDescent="0.3">
      <c r="A157">
        <v>2004657582</v>
      </c>
      <c r="B157">
        <v>1</v>
      </c>
      <c r="C157">
        <v>524071890</v>
      </c>
      <c r="D157" t="s">
        <v>95</v>
      </c>
      <c r="E157" t="s">
        <v>21</v>
      </c>
      <c r="F157" t="s">
        <v>25</v>
      </c>
      <c r="G157" t="s">
        <v>26</v>
      </c>
      <c r="H157">
        <v>1</v>
      </c>
      <c r="I157">
        <f>_xlfn.XLOOKUP(G157, tablica!$R$3:$R$34, tablica!$T$3:$T$34)</f>
        <v>81</v>
      </c>
      <c r="J157">
        <f t="shared" si="2"/>
        <v>81</v>
      </c>
      <c r="K157" s="1">
        <v>43361.542361111111</v>
      </c>
      <c r="L157">
        <v>8888</v>
      </c>
      <c r="M157">
        <f>_xlfn.XLOOKUP(G157, tablica!$R$3:$R$34, tablica!$U$3:$U$34)</f>
        <v>11000382</v>
      </c>
      <c r="N157">
        <f>_xlfn.XLOOKUP(G157, tablica!$R$3:$R$34, tablica!$V$3:$V$34)</f>
        <v>253569993627</v>
      </c>
      <c r="O157">
        <v>1131980</v>
      </c>
      <c r="P157" t="s">
        <v>94</v>
      </c>
      <c r="Q157" t="s">
        <v>93</v>
      </c>
    </row>
    <row r="158" spans="1:17" x14ac:dyDescent="0.3">
      <c r="A158">
        <v>2004657583</v>
      </c>
      <c r="B158">
        <v>1</v>
      </c>
      <c r="C158">
        <v>524071890</v>
      </c>
      <c r="D158" t="s">
        <v>95</v>
      </c>
      <c r="E158" t="s">
        <v>18</v>
      </c>
      <c r="F158" t="s">
        <v>25</v>
      </c>
      <c r="G158" t="s">
        <v>26</v>
      </c>
      <c r="H158">
        <v>1</v>
      </c>
      <c r="I158">
        <f>_xlfn.XLOOKUP(G158, tablica!$R$3:$R$34, tablica!$T$3:$T$34)</f>
        <v>81</v>
      </c>
      <c r="J158">
        <f t="shared" si="2"/>
        <v>81</v>
      </c>
      <c r="K158" s="1">
        <v>43362.304166666669</v>
      </c>
      <c r="L158">
        <v>8888</v>
      </c>
      <c r="M158">
        <f>_xlfn.XLOOKUP(G158, tablica!$R$3:$R$34, tablica!$U$3:$U$34)</f>
        <v>11000382</v>
      </c>
      <c r="N158">
        <f>_xlfn.XLOOKUP(G158, tablica!$R$3:$R$34, tablica!$V$3:$V$34)</f>
        <v>253569993627</v>
      </c>
      <c r="O158">
        <v>1131980</v>
      </c>
      <c r="P158" t="s">
        <v>94</v>
      </c>
      <c r="Q158" t="s">
        <v>93</v>
      </c>
    </row>
    <row r="159" spans="1:17" x14ac:dyDescent="0.3">
      <c r="A159">
        <v>2004657584</v>
      </c>
      <c r="B159">
        <v>1</v>
      </c>
      <c r="C159">
        <v>524071890</v>
      </c>
      <c r="D159" t="s">
        <v>95</v>
      </c>
      <c r="E159" t="s">
        <v>18</v>
      </c>
      <c r="F159" t="s">
        <v>25</v>
      </c>
      <c r="G159" t="s">
        <v>26</v>
      </c>
      <c r="H159">
        <v>1</v>
      </c>
      <c r="I159">
        <f>_xlfn.XLOOKUP(G159, tablica!$R$3:$R$34, tablica!$T$3:$T$34)</f>
        <v>81</v>
      </c>
      <c r="J159">
        <f t="shared" si="2"/>
        <v>81</v>
      </c>
      <c r="K159" s="1">
        <v>43362.320138888892</v>
      </c>
      <c r="L159">
        <v>8888</v>
      </c>
      <c r="M159">
        <f>_xlfn.XLOOKUP(G159, tablica!$R$3:$R$34, tablica!$U$3:$U$34)</f>
        <v>11000382</v>
      </c>
      <c r="N159">
        <f>_xlfn.XLOOKUP(G159, tablica!$R$3:$R$34, tablica!$V$3:$V$34)</f>
        <v>253569993627</v>
      </c>
      <c r="O159">
        <v>1131980</v>
      </c>
      <c r="P159" t="s">
        <v>94</v>
      </c>
      <c r="Q159" t="s">
        <v>93</v>
      </c>
    </row>
    <row r="160" spans="1:17" x14ac:dyDescent="0.3">
      <c r="A160">
        <v>2004657585</v>
      </c>
      <c r="B160">
        <v>1</v>
      </c>
      <c r="C160">
        <v>524071890</v>
      </c>
      <c r="D160" t="s">
        <v>95</v>
      </c>
      <c r="E160" t="s">
        <v>18</v>
      </c>
      <c r="F160" t="s">
        <v>54</v>
      </c>
      <c r="G160" t="s">
        <v>55</v>
      </c>
      <c r="H160">
        <v>1</v>
      </c>
      <c r="I160">
        <f>_xlfn.XLOOKUP(G160, tablica!$R$3:$R$34, tablica!$T$3:$T$34)</f>
        <v>271</v>
      </c>
      <c r="J160">
        <f t="shared" si="2"/>
        <v>271</v>
      </c>
      <c r="K160" s="1">
        <v>43366.484722222223</v>
      </c>
      <c r="L160">
        <v>8888</v>
      </c>
      <c r="M160">
        <f>_xlfn.XLOOKUP(G160, tablica!$R$3:$R$34, tablica!$U$3:$U$34)</f>
        <v>11000478</v>
      </c>
      <c r="N160">
        <f>_xlfn.XLOOKUP(G160, tablica!$R$3:$R$34, tablica!$V$3:$V$34)</f>
        <v>438889327432</v>
      </c>
      <c r="O160">
        <v>1131980</v>
      </c>
      <c r="P160" t="s">
        <v>94</v>
      </c>
      <c r="Q160" t="s">
        <v>93</v>
      </c>
    </row>
    <row r="161" spans="1:17" x14ac:dyDescent="0.3">
      <c r="A161">
        <v>2004657586</v>
      </c>
      <c r="B161">
        <v>1</v>
      </c>
      <c r="C161">
        <v>524071890</v>
      </c>
      <c r="D161" t="s">
        <v>95</v>
      </c>
      <c r="E161" t="s">
        <v>21</v>
      </c>
      <c r="F161" t="s">
        <v>22</v>
      </c>
      <c r="G161" t="s">
        <v>23</v>
      </c>
      <c r="H161">
        <v>1</v>
      </c>
      <c r="I161">
        <f>_xlfn.XLOOKUP(G161, tablica!$R$3:$R$34, tablica!$T$3:$T$34)</f>
        <v>169</v>
      </c>
      <c r="J161">
        <f t="shared" si="2"/>
        <v>169</v>
      </c>
      <c r="K161" s="1">
        <v>43366.48541666667</v>
      </c>
      <c r="L161">
        <v>8888</v>
      </c>
      <c r="M161">
        <f>_xlfn.XLOOKUP(G161, tablica!$R$3:$R$34, tablica!$U$3:$U$34)</f>
        <v>11000412</v>
      </c>
      <c r="N161">
        <f>_xlfn.XLOOKUP(G161, tablica!$R$3:$R$34, tablica!$V$3:$V$34)</f>
        <v>176527023908</v>
      </c>
      <c r="O161">
        <v>1131980</v>
      </c>
      <c r="P161" t="s">
        <v>94</v>
      </c>
      <c r="Q161" t="s">
        <v>93</v>
      </c>
    </row>
    <row r="162" spans="1:17" x14ac:dyDescent="0.3">
      <c r="A162">
        <v>2004657587</v>
      </c>
      <c r="B162">
        <v>1</v>
      </c>
      <c r="C162">
        <v>524071890</v>
      </c>
      <c r="D162" t="s">
        <v>95</v>
      </c>
      <c r="E162" t="s">
        <v>18</v>
      </c>
      <c r="F162" t="s">
        <v>19</v>
      </c>
      <c r="G162" t="s">
        <v>20</v>
      </c>
      <c r="H162">
        <v>1</v>
      </c>
      <c r="I162">
        <f>_xlfn.XLOOKUP(G162, tablica!$R$3:$R$34, tablica!$T$3:$T$34)</f>
        <v>50</v>
      </c>
      <c r="J162">
        <f t="shared" si="2"/>
        <v>50</v>
      </c>
      <c r="K162" s="1">
        <v>43366.48541666667</v>
      </c>
      <c r="L162">
        <v>8888</v>
      </c>
      <c r="M162">
        <f>_xlfn.XLOOKUP(G162, tablica!$R$3:$R$34, tablica!$U$3:$U$34)</f>
        <v>11000317</v>
      </c>
      <c r="N162">
        <f>_xlfn.XLOOKUP(G162, tablica!$R$3:$R$34, tablica!$V$3:$V$34)</f>
        <v>241391757902</v>
      </c>
      <c r="O162">
        <v>1131980</v>
      </c>
      <c r="P162" t="s">
        <v>94</v>
      </c>
      <c r="Q162" t="s">
        <v>93</v>
      </c>
    </row>
    <row r="163" spans="1:17" x14ac:dyDescent="0.3">
      <c r="A163">
        <v>2004657588</v>
      </c>
      <c r="B163">
        <v>1</v>
      </c>
      <c r="C163">
        <v>524071890</v>
      </c>
      <c r="D163" t="s">
        <v>95</v>
      </c>
      <c r="E163" t="s">
        <v>21</v>
      </c>
      <c r="F163" t="s">
        <v>19</v>
      </c>
      <c r="G163" t="s">
        <v>58</v>
      </c>
      <c r="H163">
        <v>1</v>
      </c>
      <c r="I163">
        <f>_xlfn.XLOOKUP(G163, tablica!$R$3:$R$34, tablica!$T$3:$T$34)</f>
        <v>107</v>
      </c>
      <c r="J163">
        <f t="shared" si="2"/>
        <v>107</v>
      </c>
      <c r="K163" s="1">
        <v>43369.309027777781</v>
      </c>
      <c r="L163">
        <v>8888</v>
      </c>
      <c r="M163">
        <f>_xlfn.XLOOKUP(G163, tablica!$R$3:$R$34, tablica!$U$3:$U$34)</f>
        <v>11000217</v>
      </c>
      <c r="N163">
        <f>_xlfn.XLOOKUP(G163, tablica!$R$3:$R$34, tablica!$V$3:$V$34)</f>
        <v>369830830390</v>
      </c>
      <c r="O163">
        <v>1131980</v>
      </c>
      <c r="P163" t="s">
        <v>94</v>
      </c>
      <c r="Q163" t="s">
        <v>93</v>
      </c>
    </row>
    <row r="164" spans="1:17" x14ac:dyDescent="0.3">
      <c r="A164">
        <v>2004657589</v>
      </c>
      <c r="B164">
        <v>1</v>
      </c>
      <c r="C164">
        <v>524071890</v>
      </c>
      <c r="D164" t="s">
        <v>95</v>
      </c>
      <c r="E164" t="s">
        <v>18</v>
      </c>
      <c r="F164" t="s">
        <v>42</v>
      </c>
      <c r="G164" t="s">
        <v>76</v>
      </c>
      <c r="H164">
        <v>1</v>
      </c>
      <c r="I164">
        <f>_xlfn.XLOOKUP(G164, tablica!$R$3:$R$34, tablica!$T$3:$T$34)</f>
        <v>44</v>
      </c>
      <c r="J164">
        <f t="shared" si="2"/>
        <v>44</v>
      </c>
      <c r="K164" s="1">
        <v>43372.338194444441</v>
      </c>
      <c r="L164">
        <v>8888</v>
      </c>
      <c r="M164">
        <f>_xlfn.XLOOKUP(G164, tablica!$R$3:$R$34, tablica!$U$3:$U$34)</f>
        <v>11000452</v>
      </c>
      <c r="N164">
        <f>_xlfn.XLOOKUP(G164, tablica!$R$3:$R$34, tablica!$V$3:$V$34)</f>
        <v>202953108877</v>
      </c>
      <c r="O164">
        <v>1131980</v>
      </c>
      <c r="P164" t="s">
        <v>94</v>
      </c>
      <c r="Q164" t="s">
        <v>93</v>
      </c>
    </row>
    <row r="165" spans="1:17" x14ac:dyDescent="0.3">
      <c r="A165">
        <v>2004657590</v>
      </c>
      <c r="B165">
        <v>1</v>
      </c>
      <c r="C165">
        <v>524071890</v>
      </c>
      <c r="D165" t="s">
        <v>95</v>
      </c>
      <c r="E165" t="s">
        <v>18</v>
      </c>
      <c r="F165" t="s">
        <v>86</v>
      </c>
      <c r="G165" t="s">
        <v>87</v>
      </c>
      <c r="H165">
        <v>1</v>
      </c>
      <c r="I165">
        <f>_xlfn.XLOOKUP(G165, tablica!$R$3:$R$34, tablica!$T$3:$T$34)</f>
        <v>41</v>
      </c>
      <c r="J165">
        <f t="shared" si="2"/>
        <v>41</v>
      </c>
      <c r="K165" s="1">
        <v>43372.375</v>
      </c>
      <c r="L165">
        <v>8888</v>
      </c>
      <c r="M165">
        <f>_xlfn.XLOOKUP(G165, tablica!$R$3:$R$34, tablica!$U$3:$U$34)</f>
        <v>11000469</v>
      </c>
      <c r="N165">
        <f>_xlfn.XLOOKUP(G165, tablica!$R$3:$R$34, tablica!$V$3:$V$34)</f>
        <v>398696407933</v>
      </c>
      <c r="O165">
        <v>1131980</v>
      </c>
      <c r="P165" t="s">
        <v>94</v>
      </c>
      <c r="Q165" t="s">
        <v>93</v>
      </c>
    </row>
    <row r="166" spans="1:17" x14ac:dyDescent="0.3">
      <c r="A166">
        <v>2004657591</v>
      </c>
      <c r="B166">
        <v>1</v>
      </c>
      <c r="C166">
        <v>524071890</v>
      </c>
      <c r="D166" t="s">
        <v>95</v>
      </c>
      <c r="E166" t="s">
        <v>21</v>
      </c>
      <c r="F166" t="s">
        <v>42</v>
      </c>
      <c r="G166" t="s">
        <v>43</v>
      </c>
      <c r="H166">
        <v>1</v>
      </c>
      <c r="I166">
        <f>_xlfn.XLOOKUP(G166, tablica!$R$3:$R$34, tablica!$T$3:$T$34)</f>
        <v>51</v>
      </c>
      <c r="J166">
        <f t="shared" si="2"/>
        <v>51</v>
      </c>
      <c r="K166" s="1">
        <v>43373.484722222223</v>
      </c>
      <c r="L166">
        <v>8888</v>
      </c>
      <c r="M166">
        <f>_xlfn.XLOOKUP(G166, tablica!$R$3:$R$34, tablica!$U$3:$U$34)</f>
        <v>11000433</v>
      </c>
      <c r="N166">
        <f>_xlfn.XLOOKUP(G166, tablica!$R$3:$R$34, tablica!$V$3:$V$34)</f>
        <v>101852761344</v>
      </c>
      <c r="O166">
        <v>1131980</v>
      </c>
      <c r="P166" t="s">
        <v>94</v>
      </c>
      <c r="Q166" t="s">
        <v>93</v>
      </c>
    </row>
    <row r="167" spans="1:17" x14ac:dyDescent="0.3">
      <c r="A167">
        <v>2004657592</v>
      </c>
      <c r="B167">
        <v>1</v>
      </c>
      <c r="C167">
        <v>524072429</v>
      </c>
      <c r="D167" t="s">
        <v>95</v>
      </c>
      <c r="E167" t="s">
        <v>18</v>
      </c>
      <c r="F167" t="s">
        <v>36</v>
      </c>
      <c r="G167" t="s">
        <v>37</v>
      </c>
      <c r="H167">
        <v>5</v>
      </c>
      <c r="I167">
        <f>_xlfn.XLOOKUP(G167, tablica!$R$3:$R$34, tablica!$T$3:$T$34)</f>
        <v>86</v>
      </c>
      <c r="J167">
        <f t="shared" si="2"/>
        <v>430</v>
      </c>
      <c r="K167" s="1">
        <v>43374.505555555559</v>
      </c>
      <c r="L167">
        <v>8888</v>
      </c>
      <c r="M167">
        <f>_xlfn.XLOOKUP(G167, tablica!$R$3:$R$34, tablica!$U$3:$U$34)</f>
        <v>11000265</v>
      </c>
      <c r="N167">
        <f>_xlfn.XLOOKUP(G167, tablica!$R$3:$R$34, tablica!$V$3:$V$34)</f>
        <v>79046819988</v>
      </c>
      <c r="O167">
        <v>1131980</v>
      </c>
      <c r="P167" t="s">
        <v>94</v>
      </c>
      <c r="Q167" t="s">
        <v>93</v>
      </c>
    </row>
    <row r="168" spans="1:17" x14ac:dyDescent="0.3">
      <c r="A168">
        <v>2004657593</v>
      </c>
      <c r="B168">
        <v>1</v>
      </c>
      <c r="C168">
        <v>524072429</v>
      </c>
      <c r="D168" t="s">
        <v>95</v>
      </c>
      <c r="E168" t="s">
        <v>18</v>
      </c>
      <c r="F168" t="s">
        <v>22</v>
      </c>
      <c r="G168" t="s">
        <v>33</v>
      </c>
      <c r="H168">
        <v>1</v>
      </c>
      <c r="I168">
        <f>_xlfn.XLOOKUP(G168, tablica!$R$3:$R$34, tablica!$T$3:$T$34)</f>
        <v>145</v>
      </c>
      <c r="J168">
        <f t="shared" si="2"/>
        <v>145</v>
      </c>
      <c r="K168" s="1">
        <v>43375.261805555558</v>
      </c>
      <c r="L168">
        <v>8888</v>
      </c>
      <c r="M168">
        <f>_xlfn.XLOOKUP(G168, tablica!$R$3:$R$34, tablica!$U$3:$U$34)</f>
        <v>11000269</v>
      </c>
      <c r="N168">
        <f>_xlfn.XLOOKUP(G168, tablica!$R$3:$R$34, tablica!$V$3:$V$34)</f>
        <v>363236906370</v>
      </c>
      <c r="O168">
        <v>1131980</v>
      </c>
      <c r="P168" t="s">
        <v>94</v>
      </c>
      <c r="Q168" t="s">
        <v>93</v>
      </c>
    </row>
    <row r="169" spans="1:17" x14ac:dyDescent="0.3">
      <c r="A169">
        <v>2004657594</v>
      </c>
      <c r="B169">
        <v>1</v>
      </c>
      <c r="C169">
        <v>524072429</v>
      </c>
      <c r="D169" t="s">
        <v>95</v>
      </c>
      <c r="E169" t="s">
        <v>18</v>
      </c>
      <c r="F169" t="s">
        <v>29</v>
      </c>
      <c r="G169" t="s">
        <v>39</v>
      </c>
      <c r="H169">
        <v>10</v>
      </c>
      <c r="I169">
        <f>_xlfn.XLOOKUP(G169, tablica!$R$3:$R$34, tablica!$T$3:$T$34)</f>
        <v>127</v>
      </c>
      <c r="J169">
        <f t="shared" si="2"/>
        <v>1270</v>
      </c>
      <c r="K169" s="1">
        <v>43376.296527777777</v>
      </c>
      <c r="L169">
        <v>8888</v>
      </c>
      <c r="M169">
        <f>_xlfn.XLOOKUP(G169, tablica!$R$3:$R$34, tablica!$U$3:$U$34)</f>
        <v>11000307</v>
      </c>
      <c r="N169">
        <f>_xlfn.XLOOKUP(G169, tablica!$R$3:$R$34, tablica!$V$3:$V$34)</f>
        <v>488714211366</v>
      </c>
      <c r="O169">
        <v>1131980</v>
      </c>
      <c r="P169" t="s">
        <v>94</v>
      </c>
      <c r="Q169" t="s">
        <v>93</v>
      </c>
    </row>
    <row r="170" spans="1:17" x14ac:dyDescent="0.3">
      <c r="A170">
        <v>2004657595</v>
      </c>
      <c r="B170">
        <v>1</v>
      </c>
      <c r="C170">
        <v>524072429</v>
      </c>
      <c r="D170" t="s">
        <v>95</v>
      </c>
      <c r="E170" t="s">
        <v>18</v>
      </c>
      <c r="F170" t="s">
        <v>29</v>
      </c>
      <c r="G170" t="s">
        <v>30</v>
      </c>
      <c r="H170">
        <v>10</v>
      </c>
      <c r="I170">
        <f>_xlfn.XLOOKUP(G170, tablica!$R$3:$R$34, tablica!$T$3:$T$34)</f>
        <v>156</v>
      </c>
      <c r="J170">
        <f t="shared" si="2"/>
        <v>1560</v>
      </c>
      <c r="K170" s="1">
        <v>43376.299305555556</v>
      </c>
      <c r="L170">
        <v>8888</v>
      </c>
      <c r="M170">
        <f>_xlfn.XLOOKUP(G170, tablica!$R$3:$R$34, tablica!$U$3:$U$34)</f>
        <v>11000301</v>
      </c>
      <c r="N170">
        <f>_xlfn.XLOOKUP(G170, tablica!$R$3:$R$34, tablica!$V$3:$V$34)</f>
        <v>440331456754</v>
      </c>
      <c r="O170">
        <v>1131980</v>
      </c>
      <c r="P170" t="s">
        <v>94</v>
      </c>
      <c r="Q170" t="s">
        <v>93</v>
      </c>
    </row>
    <row r="171" spans="1:17" x14ac:dyDescent="0.3">
      <c r="A171">
        <v>2004657596</v>
      </c>
      <c r="B171">
        <v>1</v>
      </c>
      <c r="C171">
        <v>524072429</v>
      </c>
      <c r="D171" t="s">
        <v>95</v>
      </c>
      <c r="E171" t="s">
        <v>18</v>
      </c>
      <c r="F171" t="s">
        <v>29</v>
      </c>
      <c r="G171" t="s">
        <v>32</v>
      </c>
      <c r="H171">
        <v>10</v>
      </c>
      <c r="I171">
        <f>_xlfn.XLOOKUP(G171, tablica!$R$3:$R$34, tablica!$T$3:$T$34)</f>
        <v>217</v>
      </c>
      <c r="J171">
        <f t="shared" si="2"/>
        <v>2170</v>
      </c>
      <c r="K171" s="1">
        <v>43376.302083333336</v>
      </c>
      <c r="L171">
        <v>8888</v>
      </c>
      <c r="M171">
        <f>_xlfn.XLOOKUP(G171, tablica!$R$3:$R$34, tablica!$U$3:$U$34)</f>
        <v>11000428</v>
      </c>
      <c r="N171">
        <f>_xlfn.XLOOKUP(G171, tablica!$R$3:$R$34, tablica!$V$3:$V$34)</f>
        <v>332966150556</v>
      </c>
      <c r="O171">
        <v>1131980</v>
      </c>
      <c r="P171" t="s">
        <v>94</v>
      </c>
      <c r="Q171" t="s">
        <v>93</v>
      </c>
    </row>
    <row r="172" spans="1:17" x14ac:dyDescent="0.3">
      <c r="A172">
        <v>2004657597</v>
      </c>
      <c r="B172">
        <v>1</v>
      </c>
      <c r="C172">
        <v>524072429</v>
      </c>
      <c r="D172" t="s">
        <v>95</v>
      </c>
      <c r="E172" t="s">
        <v>18</v>
      </c>
      <c r="F172" t="s">
        <v>19</v>
      </c>
      <c r="G172" t="s">
        <v>20</v>
      </c>
      <c r="H172">
        <v>1</v>
      </c>
      <c r="I172">
        <f>_xlfn.XLOOKUP(G172, tablica!$R$3:$R$34, tablica!$T$3:$T$34)</f>
        <v>50</v>
      </c>
      <c r="J172">
        <f t="shared" si="2"/>
        <v>50</v>
      </c>
      <c r="K172" s="1">
        <v>43380.283333333333</v>
      </c>
      <c r="L172">
        <v>8888</v>
      </c>
      <c r="M172">
        <f>_xlfn.XLOOKUP(G172, tablica!$R$3:$R$34, tablica!$U$3:$U$34)</f>
        <v>11000317</v>
      </c>
      <c r="N172">
        <f>_xlfn.XLOOKUP(G172, tablica!$R$3:$R$34, tablica!$V$3:$V$34)</f>
        <v>241391757902</v>
      </c>
      <c r="O172">
        <v>1131980</v>
      </c>
      <c r="P172" t="s">
        <v>94</v>
      </c>
      <c r="Q172" t="s">
        <v>93</v>
      </c>
    </row>
    <row r="173" spans="1:17" x14ac:dyDescent="0.3">
      <c r="A173">
        <v>2004657598</v>
      </c>
      <c r="B173">
        <v>1</v>
      </c>
      <c r="C173">
        <v>524072429</v>
      </c>
      <c r="D173" t="s">
        <v>95</v>
      </c>
      <c r="E173" t="s">
        <v>18</v>
      </c>
      <c r="F173" t="s">
        <v>22</v>
      </c>
      <c r="G173" t="s">
        <v>23</v>
      </c>
      <c r="H173">
        <v>1</v>
      </c>
      <c r="I173">
        <f>_xlfn.XLOOKUP(G173, tablica!$R$3:$R$34, tablica!$T$3:$T$34)</f>
        <v>169</v>
      </c>
      <c r="J173">
        <f t="shared" si="2"/>
        <v>169</v>
      </c>
      <c r="K173" s="1">
        <v>43380.283333333333</v>
      </c>
      <c r="L173">
        <v>8888</v>
      </c>
      <c r="M173">
        <f>_xlfn.XLOOKUP(G173, tablica!$R$3:$R$34, tablica!$U$3:$U$34)</f>
        <v>11000412</v>
      </c>
      <c r="N173">
        <f>_xlfn.XLOOKUP(G173, tablica!$R$3:$R$34, tablica!$V$3:$V$34)</f>
        <v>176527023908</v>
      </c>
      <c r="O173">
        <v>1131980</v>
      </c>
      <c r="P173" t="s">
        <v>94</v>
      </c>
      <c r="Q173" t="s">
        <v>93</v>
      </c>
    </row>
    <row r="174" spans="1:17" x14ac:dyDescent="0.3">
      <c r="A174">
        <v>2004657599</v>
      </c>
      <c r="B174">
        <v>1</v>
      </c>
      <c r="C174">
        <v>524072429</v>
      </c>
      <c r="D174" t="s">
        <v>95</v>
      </c>
      <c r="E174" t="s">
        <v>18</v>
      </c>
      <c r="F174" t="s">
        <v>29</v>
      </c>
      <c r="G174" t="s">
        <v>41</v>
      </c>
      <c r="H174">
        <v>10</v>
      </c>
      <c r="I174">
        <f>_xlfn.XLOOKUP(G174, tablica!$R$3:$R$34, tablica!$T$3:$T$34)</f>
        <v>208</v>
      </c>
      <c r="J174">
        <f t="shared" si="2"/>
        <v>2080</v>
      </c>
      <c r="K174" s="1">
        <v>43382.438888888886</v>
      </c>
      <c r="L174">
        <v>8888</v>
      </c>
      <c r="M174">
        <f>_xlfn.XLOOKUP(G174, tablica!$R$3:$R$34, tablica!$U$3:$U$34)</f>
        <v>11000364</v>
      </c>
      <c r="N174">
        <f>_xlfn.XLOOKUP(G174, tablica!$R$3:$R$34, tablica!$V$3:$V$34)</f>
        <v>437465821622</v>
      </c>
      <c r="O174">
        <v>1131980</v>
      </c>
      <c r="P174" t="s">
        <v>94</v>
      </c>
      <c r="Q174" t="s">
        <v>93</v>
      </c>
    </row>
    <row r="175" spans="1:17" x14ac:dyDescent="0.3">
      <c r="A175">
        <v>2004657600</v>
      </c>
      <c r="B175">
        <v>1</v>
      </c>
      <c r="C175">
        <v>524072429</v>
      </c>
      <c r="D175" t="s">
        <v>95</v>
      </c>
      <c r="E175" t="s">
        <v>18</v>
      </c>
      <c r="F175" t="s">
        <v>29</v>
      </c>
      <c r="G175" t="s">
        <v>32</v>
      </c>
      <c r="H175">
        <v>10</v>
      </c>
      <c r="I175">
        <f>_xlfn.XLOOKUP(G175, tablica!$R$3:$R$34, tablica!$T$3:$T$34)</f>
        <v>217</v>
      </c>
      <c r="J175">
        <f t="shared" si="2"/>
        <v>2170</v>
      </c>
      <c r="K175" s="1">
        <v>43386.901388888888</v>
      </c>
      <c r="L175">
        <v>8888</v>
      </c>
      <c r="M175">
        <f>_xlfn.XLOOKUP(G175, tablica!$R$3:$R$34, tablica!$U$3:$U$34)</f>
        <v>11000428</v>
      </c>
      <c r="N175">
        <f>_xlfn.XLOOKUP(G175, tablica!$R$3:$R$34, tablica!$V$3:$V$34)</f>
        <v>332966150556</v>
      </c>
      <c r="O175">
        <v>1131980</v>
      </c>
      <c r="P175" t="s">
        <v>94</v>
      </c>
      <c r="Q175" t="s">
        <v>93</v>
      </c>
    </row>
    <row r="176" spans="1:17" x14ac:dyDescent="0.3">
      <c r="A176">
        <v>2004657601</v>
      </c>
      <c r="B176">
        <v>1</v>
      </c>
      <c r="C176">
        <v>524072429</v>
      </c>
      <c r="D176" t="s">
        <v>95</v>
      </c>
      <c r="E176" t="s">
        <v>18</v>
      </c>
      <c r="F176" t="s">
        <v>42</v>
      </c>
      <c r="G176" t="s">
        <v>76</v>
      </c>
      <c r="H176">
        <v>1</v>
      </c>
      <c r="I176">
        <f>_xlfn.XLOOKUP(G176, tablica!$R$3:$R$34, tablica!$T$3:$T$34)</f>
        <v>44</v>
      </c>
      <c r="J176">
        <f t="shared" si="2"/>
        <v>44</v>
      </c>
      <c r="K176" s="1">
        <v>43387.352083333331</v>
      </c>
      <c r="L176">
        <v>8888</v>
      </c>
      <c r="M176">
        <f>_xlfn.XLOOKUP(G176, tablica!$R$3:$R$34, tablica!$U$3:$U$34)</f>
        <v>11000452</v>
      </c>
      <c r="N176">
        <f>_xlfn.XLOOKUP(G176, tablica!$R$3:$R$34, tablica!$V$3:$V$34)</f>
        <v>202953108877</v>
      </c>
      <c r="O176">
        <v>1131980</v>
      </c>
      <c r="P176" t="s">
        <v>94</v>
      </c>
      <c r="Q176" t="s">
        <v>93</v>
      </c>
    </row>
    <row r="177" spans="1:17" x14ac:dyDescent="0.3">
      <c r="A177">
        <v>2004657602</v>
      </c>
      <c r="B177">
        <v>1</v>
      </c>
      <c r="C177">
        <v>524072429</v>
      </c>
      <c r="D177" t="s">
        <v>95</v>
      </c>
      <c r="E177" t="s">
        <v>21</v>
      </c>
      <c r="F177" t="s">
        <v>22</v>
      </c>
      <c r="G177" t="s">
        <v>33</v>
      </c>
      <c r="H177">
        <v>1</v>
      </c>
      <c r="I177">
        <f>_xlfn.XLOOKUP(G177, tablica!$R$3:$R$34, tablica!$T$3:$T$34)</f>
        <v>145</v>
      </c>
      <c r="J177">
        <f t="shared" si="2"/>
        <v>145</v>
      </c>
      <c r="K177" s="1">
        <v>43387.472916666666</v>
      </c>
      <c r="L177">
        <v>8888</v>
      </c>
      <c r="M177">
        <f>_xlfn.XLOOKUP(G177, tablica!$R$3:$R$34, tablica!$U$3:$U$34)</f>
        <v>11000269</v>
      </c>
      <c r="N177">
        <f>_xlfn.XLOOKUP(G177, tablica!$R$3:$R$34, tablica!$V$3:$V$34)</f>
        <v>363236906370</v>
      </c>
      <c r="O177">
        <v>1131980</v>
      </c>
      <c r="P177" t="s">
        <v>94</v>
      </c>
      <c r="Q177" t="s">
        <v>93</v>
      </c>
    </row>
    <row r="178" spans="1:17" x14ac:dyDescent="0.3">
      <c r="A178">
        <v>2004657603</v>
      </c>
      <c r="B178">
        <v>1</v>
      </c>
      <c r="C178">
        <v>524072429</v>
      </c>
      <c r="D178" t="s">
        <v>95</v>
      </c>
      <c r="E178" t="s">
        <v>18</v>
      </c>
      <c r="F178" t="s">
        <v>29</v>
      </c>
      <c r="G178" t="s">
        <v>61</v>
      </c>
      <c r="H178">
        <v>10</v>
      </c>
      <c r="I178">
        <f>_xlfn.XLOOKUP(G178, tablica!$R$3:$R$34, tablica!$T$3:$T$34)</f>
        <v>220</v>
      </c>
      <c r="J178">
        <f t="shared" si="2"/>
        <v>2200</v>
      </c>
      <c r="K178" s="1">
        <v>43388.607638888891</v>
      </c>
      <c r="L178">
        <v>8888</v>
      </c>
      <c r="M178">
        <f>_xlfn.XLOOKUP(G178, tablica!$R$3:$R$34, tablica!$U$3:$U$34)</f>
        <v>11000256</v>
      </c>
      <c r="N178">
        <f>_xlfn.XLOOKUP(G178, tablica!$R$3:$R$34, tablica!$V$3:$V$34)</f>
        <v>385416301012</v>
      </c>
      <c r="O178">
        <v>1131980</v>
      </c>
      <c r="P178" t="s">
        <v>94</v>
      </c>
      <c r="Q178" t="s">
        <v>93</v>
      </c>
    </row>
    <row r="179" spans="1:17" x14ac:dyDescent="0.3">
      <c r="A179">
        <v>2004657604</v>
      </c>
      <c r="B179">
        <v>1</v>
      </c>
      <c r="C179">
        <v>524072429</v>
      </c>
      <c r="D179" t="s">
        <v>95</v>
      </c>
      <c r="E179" t="s">
        <v>21</v>
      </c>
      <c r="F179" t="s">
        <v>22</v>
      </c>
      <c r="G179" t="s">
        <v>33</v>
      </c>
      <c r="H179">
        <v>1</v>
      </c>
      <c r="I179">
        <f>_xlfn.XLOOKUP(G179, tablica!$R$3:$R$34, tablica!$T$3:$T$34)</f>
        <v>145</v>
      </c>
      <c r="J179">
        <f t="shared" si="2"/>
        <v>145</v>
      </c>
      <c r="K179" s="1">
        <v>43389.294444444444</v>
      </c>
      <c r="L179">
        <v>8888</v>
      </c>
      <c r="M179">
        <f>_xlfn.XLOOKUP(G179, tablica!$R$3:$R$34, tablica!$U$3:$U$34)</f>
        <v>11000269</v>
      </c>
      <c r="N179">
        <f>_xlfn.XLOOKUP(G179, tablica!$R$3:$R$34, tablica!$V$3:$V$34)</f>
        <v>363236906370</v>
      </c>
      <c r="O179">
        <v>1131980</v>
      </c>
      <c r="P179" t="s">
        <v>94</v>
      </c>
      <c r="Q179" t="s">
        <v>93</v>
      </c>
    </row>
    <row r="180" spans="1:17" x14ac:dyDescent="0.3">
      <c r="A180">
        <v>2004657605</v>
      </c>
      <c r="B180">
        <v>1</v>
      </c>
      <c r="C180">
        <v>524072429</v>
      </c>
      <c r="D180" t="s">
        <v>95</v>
      </c>
      <c r="E180" t="s">
        <v>21</v>
      </c>
      <c r="F180" t="s">
        <v>22</v>
      </c>
      <c r="G180" t="s">
        <v>23</v>
      </c>
      <c r="H180">
        <v>1</v>
      </c>
      <c r="I180">
        <f>_xlfn.XLOOKUP(G180, tablica!$R$3:$R$34, tablica!$T$3:$T$34)</f>
        <v>169</v>
      </c>
      <c r="J180">
        <f t="shared" si="2"/>
        <v>169</v>
      </c>
      <c r="K180" s="1">
        <v>43389.56527777778</v>
      </c>
      <c r="L180">
        <v>8888</v>
      </c>
      <c r="M180">
        <f>_xlfn.XLOOKUP(G180, tablica!$R$3:$R$34, tablica!$U$3:$U$34)</f>
        <v>11000412</v>
      </c>
      <c r="N180">
        <f>_xlfn.XLOOKUP(G180, tablica!$R$3:$R$34, tablica!$V$3:$V$34)</f>
        <v>176527023908</v>
      </c>
      <c r="O180">
        <v>1131980</v>
      </c>
      <c r="P180" t="s">
        <v>94</v>
      </c>
      <c r="Q180" t="s">
        <v>93</v>
      </c>
    </row>
    <row r="181" spans="1:17" x14ac:dyDescent="0.3">
      <c r="A181">
        <v>2004657606</v>
      </c>
      <c r="B181">
        <v>1</v>
      </c>
      <c r="C181">
        <v>524072429</v>
      </c>
      <c r="D181" t="s">
        <v>95</v>
      </c>
      <c r="E181" t="s">
        <v>18</v>
      </c>
      <c r="F181" t="s">
        <v>19</v>
      </c>
      <c r="G181" t="s">
        <v>20</v>
      </c>
      <c r="H181">
        <v>1</v>
      </c>
      <c r="I181">
        <f>_xlfn.XLOOKUP(G181, tablica!$R$3:$R$34, tablica!$T$3:$T$34)</f>
        <v>50</v>
      </c>
      <c r="J181">
        <f t="shared" si="2"/>
        <v>50</v>
      </c>
      <c r="K181" s="1">
        <v>43389.56527777778</v>
      </c>
      <c r="L181">
        <v>8888</v>
      </c>
      <c r="M181">
        <f>_xlfn.XLOOKUP(G181, tablica!$R$3:$R$34, tablica!$U$3:$U$34)</f>
        <v>11000317</v>
      </c>
      <c r="N181">
        <f>_xlfn.XLOOKUP(G181, tablica!$R$3:$R$34, tablica!$V$3:$V$34)</f>
        <v>241391757902</v>
      </c>
      <c r="O181">
        <v>1131980</v>
      </c>
      <c r="P181" t="s">
        <v>94</v>
      </c>
      <c r="Q181" t="s">
        <v>93</v>
      </c>
    </row>
    <row r="182" spans="1:17" x14ac:dyDescent="0.3">
      <c r="A182">
        <v>2004657607</v>
      </c>
      <c r="B182">
        <v>1</v>
      </c>
      <c r="C182">
        <v>524072429</v>
      </c>
      <c r="D182" t="s">
        <v>95</v>
      </c>
      <c r="E182" t="s">
        <v>18</v>
      </c>
      <c r="F182" t="s">
        <v>36</v>
      </c>
      <c r="G182" t="s">
        <v>37</v>
      </c>
      <c r="H182">
        <v>5</v>
      </c>
      <c r="I182">
        <f>_xlfn.XLOOKUP(G182, tablica!$R$3:$R$34, tablica!$T$3:$T$34)</f>
        <v>86</v>
      </c>
      <c r="J182">
        <f t="shared" si="2"/>
        <v>430</v>
      </c>
      <c r="K182" s="1">
        <v>43389.575694444444</v>
      </c>
      <c r="L182">
        <v>8888</v>
      </c>
      <c r="M182">
        <f>_xlfn.XLOOKUP(G182, tablica!$R$3:$R$34, tablica!$U$3:$U$34)</f>
        <v>11000265</v>
      </c>
      <c r="N182">
        <f>_xlfn.XLOOKUP(G182, tablica!$R$3:$R$34, tablica!$V$3:$V$34)</f>
        <v>79046819988</v>
      </c>
      <c r="O182">
        <v>1131980</v>
      </c>
      <c r="P182" t="s">
        <v>94</v>
      </c>
      <c r="Q182" t="s">
        <v>93</v>
      </c>
    </row>
    <row r="183" spans="1:17" x14ac:dyDescent="0.3">
      <c r="A183">
        <v>2004657608</v>
      </c>
      <c r="B183">
        <v>1</v>
      </c>
      <c r="C183">
        <v>524072429</v>
      </c>
      <c r="D183" t="s">
        <v>95</v>
      </c>
      <c r="E183" t="s">
        <v>21</v>
      </c>
      <c r="F183" t="s">
        <v>22</v>
      </c>
      <c r="G183" t="s">
        <v>53</v>
      </c>
      <c r="H183">
        <v>1</v>
      </c>
      <c r="I183">
        <f>_xlfn.XLOOKUP(G183, tablica!$R$3:$R$34, tablica!$T$3:$T$34)</f>
        <v>131</v>
      </c>
      <c r="J183">
        <f t="shared" si="2"/>
        <v>131</v>
      </c>
      <c r="K183" s="1">
        <v>43395.352083333331</v>
      </c>
      <c r="L183">
        <v>8888</v>
      </c>
      <c r="M183">
        <f>_xlfn.XLOOKUP(G183, tablica!$R$3:$R$34, tablica!$U$3:$U$34)</f>
        <v>11000241</v>
      </c>
      <c r="N183">
        <f>_xlfn.XLOOKUP(G183, tablica!$R$3:$R$34, tablica!$V$3:$V$34)</f>
        <v>65225337712</v>
      </c>
      <c r="O183">
        <v>1131980</v>
      </c>
      <c r="P183" t="s">
        <v>94</v>
      </c>
      <c r="Q183" t="s">
        <v>93</v>
      </c>
    </row>
    <row r="184" spans="1:17" x14ac:dyDescent="0.3">
      <c r="A184">
        <v>2004657609</v>
      </c>
      <c r="B184">
        <v>1</v>
      </c>
      <c r="C184">
        <v>524072429</v>
      </c>
      <c r="D184" t="s">
        <v>95</v>
      </c>
      <c r="E184" t="s">
        <v>21</v>
      </c>
      <c r="F184" t="s">
        <v>22</v>
      </c>
      <c r="G184" t="s">
        <v>33</v>
      </c>
      <c r="H184">
        <v>1</v>
      </c>
      <c r="I184">
        <f>_xlfn.XLOOKUP(G184, tablica!$R$3:$R$34, tablica!$T$3:$T$34)</f>
        <v>145</v>
      </c>
      <c r="J184">
        <f t="shared" si="2"/>
        <v>145</v>
      </c>
      <c r="K184" s="1">
        <v>43395.472916666666</v>
      </c>
      <c r="L184">
        <v>8888</v>
      </c>
      <c r="M184">
        <f>_xlfn.XLOOKUP(G184, tablica!$R$3:$R$34, tablica!$U$3:$U$34)</f>
        <v>11000269</v>
      </c>
      <c r="N184">
        <f>_xlfn.XLOOKUP(G184, tablica!$R$3:$R$34, tablica!$V$3:$V$34)</f>
        <v>363236906370</v>
      </c>
      <c r="O184">
        <v>1131980</v>
      </c>
      <c r="P184" t="s">
        <v>94</v>
      </c>
      <c r="Q184" t="s">
        <v>93</v>
      </c>
    </row>
    <row r="185" spans="1:17" x14ac:dyDescent="0.3">
      <c r="A185">
        <v>2004657610</v>
      </c>
      <c r="B185">
        <v>1</v>
      </c>
      <c r="C185">
        <v>524072429</v>
      </c>
      <c r="D185" t="s">
        <v>95</v>
      </c>
      <c r="E185" t="s">
        <v>18</v>
      </c>
      <c r="F185" t="s">
        <v>29</v>
      </c>
      <c r="G185" t="s">
        <v>32</v>
      </c>
      <c r="H185">
        <v>10</v>
      </c>
      <c r="I185">
        <f>_xlfn.XLOOKUP(G185, tablica!$R$3:$R$34, tablica!$T$3:$T$34)</f>
        <v>217</v>
      </c>
      <c r="J185">
        <f t="shared" si="2"/>
        <v>2170</v>
      </c>
      <c r="K185" s="1">
        <v>43395.509027777778</v>
      </c>
      <c r="L185">
        <v>8888</v>
      </c>
      <c r="M185">
        <f>_xlfn.XLOOKUP(G185, tablica!$R$3:$R$34, tablica!$U$3:$U$34)</f>
        <v>11000428</v>
      </c>
      <c r="N185">
        <f>_xlfn.XLOOKUP(G185, tablica!$R$3:$R$34, tablica!$V$3:$V$34)</f>
        <v>332966150556</v>
      </c>
      <c r="O185">
        <v>1131980</v>
      </c>
      <c r="P185" t="s">
        <v>94</v>
      </c>
      <c r="Q185" t="s">
        <v>93</v>
      </c>
    </row>
    <row r="186" spans="1:17" x14ac:dyDescent="0.3">
      <c r="A186">
        <v>2004657611</v>
      </c>
      <c r="B186">
        <v>1</v>
      </c>
      <c r="C186">
        <v>524072429</v>
      </c>
      <c r="D186" t="s">
        <v>95</v>
      </c>
      <c r="E186" t="s">
        <v>18</v>
      </c>
      <c r="F186" t="s">
        <v>29</v>
      </c>
      <c r="G186" t="s">
        <v>39</v>
      </c>
      <c r="H186">
        <v>10</v>
      </c>
      <c r="I186">
        <f>_xlfn.XLOOKUP(G186, tablica!$R$3:$R$34, tablica!$T$3:$T$34)</f>
        <v>127</v>
      </c>
      <c r="J186">
        <f t="shared" si="2"/>
        <v>1270</v>
      </c>
      <c r="K186" s="1">
        <v>43395.509722222225</v>
      </c>
      <c r="L186">
        <v>8888</v>
      </c>
      <c r="M186">
        <f>_xlfn.XLOOKUP(G186, tablica!$R$3:$R$34, tablica!$U$3:$U$34)</f>
        <v>11000307</v>
      </c>
      <c r="N186">
        <f>_xlfn.XLOOKUP(G186, tablica!$R$3:$R$34, tablica!$V$3:$V$34)</f>
        <v>488714211366</v>
      </c>
      <c r="O186">
        <v>1131980</v>
      </c>
      <c r="P186" t="s">
        <v>94</v>
      </c>
      <c r="Q186" t="s">
        <v>93</v>
      </c>
    </row>
    <row r="187" spans="1:17" x14ac:dyDescent="0.3">
      <c r="A187">
        <v>2004657612</v>
      </c>
      <c r="B187">
        <v>1</v>
      </c>
      <c r="C187">
        <v>524072429</v>
      </c>
      <c r="D187" t="s">
        <v>95</v>
      </c>
      <c r="E187" t="s">
        <v>18</v>
      </c>
      <c r="F187" t="s">
        <v>29</v>
      </c>
      <c r="G187" t="s">
        <v>30</v>
      </c>
      <c r="H187">
        <v>10</v>
      </c>
      <c r="I187">
        <f>_xlfn.XLOOKUP(G187, tablica!$R$3:$R$34, tablica!$T$3:$T$34)</f>
        <v>156</v>
      </c>
      <c r="J187">
        <f t="shared" si="2"/>
        <v>1560</v>
      </c>
      <c r="K187" s="1">
        <v>43395.515277777777</v>
      </c>
      <c r="L187">
        <v>8888</v>
      </c>
      <c r="M187">
        <f>_xlfn.XLOOKUP(G187, tablica!$R$3:$R$34, tablica!$U$3:$U$34)</f>
        <v>11000301</v>
      </c>
      <c r="N187">
        <f>_xlfn.XLOOKUP(G187, tablica!$R$3:$R$34, tablica!$V$3:$V$34)</f>
        <v>440331456754</v>
      </c>
      <c r="O187">
        <v>1131980</v>
      </c>
      <c r="P187" t="s">
        <v>94</v>
      </c>
      <c r="Q187" t="s">
        <v>93</v>
      </c>
    </row>
    <row r="188" spans="1:17" x14ac:dyDescent="0.3">
      <c r="A188">
        <v>2004657613</v>
      </c>
      <c r="B188">
        <v>1</v>
      </c>
      <c r="C188">
        <v>524072429</v>
      </c>
      <c r="D188" t="s">
        <v>95</v>
      </c>
      <c r="E188" t="s">
        <v>18</v>
      </c>
      <c r="F188" t="s">
        <v>42</v>
      </c>
      <c r="G188" t="s">
        <v>44</v>
      </c>
      <c r="H188">
        <v>1</v>
      </c>
      <c r="I188">
        <f>_xlfn.XLOOKUP(G188, tablica!$R$3:$R$34, tablica!$T$3:$T$34)</f>
        <v>165</v>
      </c>
      <c r="J188">
        <f t="shared" si="2"/>
        <v>165</v>
      </c>
      <c r="K188" s="1">
        <v>43396.281944444447</v>
      </c>
      <c r="L188">
        <v>8888</v>
      </c>
      <c r="M188">
        <f>_xlfn.XLOOKUP(G188, tablica!$R$3:$R$34, tablica!$U$3:$U$34)</f>
        <v>11000409</v>
      </c>
      <c r="N188">
        <f>_xlfn.XLOOKUP(G188, tablica!$R$3:$R$34, tablica!$V$3:$V$34)</f>
        <v>490310551016</v>
      </c>
      <c r="O188">
        <v>1131980</v>
      </c>
      <c r="P188" t="s">
        <v>94</v>
      </c>
      <c r="Q188" t="s">
        <v>93</v>
      </c>
    </row>
    <row r="189" spans="1:17" x14ac:dyDescent="0.3">
      <c r="A189">
        <v>2004657614</v>
      </c>
      <c r="B189">
        <v>1</v>
      </c>
      <c r="C189">
        <v>524072429</v>
      </c>
      <c r="D189" t="s">
        <v>95</v>
      </c>
      <c r="E189" t="s">
        <v>18</v>
      </c>
      <c r="F189" t="s">
        <v>42</v>
      </c>
      <c r="G189" t="s">
        <v>76</v>
      </c>
      <c r="H189">
        <v>1</v>
      </c>
      <c r="I189">
        <f>_xlfn.XLOOKUP(G189, tablica!$R$3:$R$34, tablica!$T$3:$T$34)</f>
        <v>44</v>
      </c>
      <c r="J189">
        <f t="shared" si="2"/>
        <v>44</v>
      </c>
      <c r="K189" s="1">
        <v>43402.431250000001</v>
      </c>
      <c r="L189">
        <v>8888</v>
      </c>
      <c r="M189">
        <f>_xlfn.XLOOKUP(G189, tablica!$R$3:$R$34, tablica!$U$3:$U$34)</f>
        <v>11000452</v>
      </c>
      <c r="N189">
        <f>_xlfn.XLOOKUP(G189, tablica!$R$3:$R$34, tablica!$V$3:$V$34)</f>
        <v>202953108877</v>
      </c>
      <c r="O189">
        <v>1131980</v>
      </c>
      <c r="P189" t="s">
        <v>94</v>
      </c>
      <c r="Q189" t="s">
        <v>93</v>
      </c>
    </row>
    <row r="190" spans="1:17" x14ac:dyDescent="0.3">
      <c r="A190">
        <v>2004657615</v>
      </c>
      <c r="B190">
        <v>1</v>
      </c>
      <c r="C190">
        <v>524072429</v>
      </c>
      <c r="D190" t="s">
        <v>95</v>
      </c>
      <c r="E190" t="s">
        <v>21</v>
      </c>
      <c r="F190" t="s">
        <v>22</v>
      </c>
      <c r="G190" t="s">
        <v>23</v>
      </c>
      <c r="H190">
        <v>1</v>
      </c>
      <c r="I190">
        <f>_xlfn.XLOOKUP(G190, tablica!$R$3:$R$34, tablica!$T$3:$T$34)</f>
        <v>169</v>
      </c>
      <c r="J190">
        <f t="shared" si="2"/>
        <v>169</v>
      </c>
      <c r="K190" s="1">
        <v>43403.46875</v>
      </c>
      <c r="L190">
        <v>8888</v>
      </c>
      <c r="M190">
        <f>_xlfn.XLOOKUP(G190, tablica!$R$3:$R$34, tablica!$U$3:$U$34)</f>
        <v>11000412</v>
      </c>
      <c r="N190">
        <f>_xlfn.XLOOKUP(G190, tablica!$R$3:$R$34, tablica!$V$3:$V$34)</f>
        <v>176527023908</v>
      </c>
      <c r="O190">
        <v>1131980</v>
      </c>
      <c r="P190" t="s">
        <v>94</v>
      </c>
      <c r="Q190" t="s">
        <v>93</v>
      </c>
    </row>
    <row r="191" spans="1:17" x14ac:dyDescent="0.3">
      <c r="A191">
        <v>2004657616</v>
      </c>
      <c r="B191">
        <v>1</v>
      </c>
      <c r="C191">
        <v>524072429</v>
      </c>
      <c r="D191" t="s">
        <v>95</v>
      </c>
      <c r="E191" t="s">
        <v>18</v>
      </c>
      <c r="F191" t="s">
        <v>29</v>
      </c>
      <c r="G191" t="s">
        <v>41</v>
      </c>
      <c r="H191">
        <v>10</v>
      </c>
      <c r="I191">
        <f>_xlfn.XLOOKUP(G191, tablica!$R$3:$R$34, tablica!$T$3:$T$34)</f>
        <v>208</v>
      </c>
      <c r="J191">
        <f t="shared" si="2"/>
        <v>2080</v>
      </c>
      <c r="K191" s="1">
        <v>43403.544444444444</v>
      </c>
      <c r="L191">
        <v>8888</v>
      </c>
      <c r="M191">
        <f>_xlfn.XLOOKUP(G191, tablica!$R$3:$R$34, tablica!$U$3:$U$34)</f>
        <v>11000364</v>
      </c>
      <c r="N191">
        <f>_xlfn.XLOOKUP(G191, tablica!$R$3:$R$34, tablica!$V$3:$V$34)</f>
        <v>437465821622</v>
      </c>
      <c r="O191">
        <v>1131980</v>
      </c>
      <c r="P191" t="s">
        <v>94</v>
      </c>
      <c r="Q191" t="s">
        <v>93</v>
      </c>
    </row>
    <row r="192" spans="1:17" x14ac:dyDescent="0.3">
      <c r="A192">
        <v>2004657617</v>
      </c>
      <c r="B192">
        <v>1</v>
      </c>
      <c r="C192">
        <v>524072881</v>
      </c>
      <c r="D192" t="s">
        <v>95</v>
      </c>
      <c r="E192" t="s">
        <v>18</v>
      </c>
      <c r="F192" t="s">
        <v>36</v>
      </c>
      <c r="G192" t="s">
        <v>37</v>
      </c>
      <c r="H192">
        <v>5</v>
      </c>
      <c r="I192">
        <f>_xlfn.XLOOKUP(G192, tablica!$R$3:$R$34, tablica!$T$3:$T$34)</f>
        <v>86</v>
      </c>
      <c r="J192">
        <f t="shared" si="2"/>
        <v>430</v>
      </c>
      <c r="K192" s="1">
        <v>43408.462500000001</v>
      </c>
      <c r="L192">
        <v>8888</v>
      </c>
      <c r="M192">
        <f>_xlfn.XLOOKUP(G192, tablica!$R$3:$R$34, tablica!$U$3:$U$34)</f>
        <v>11000265</v>
      </c>
      <c r="N192">
        <f>_xlfn.XLOOKUP(G192, tablica!$R$3:$R$34, tablica!$V$3:$V$34)</f>
        <v>79046819988</v>
      </c>
      <c r="O192">
        <v>1131980</v>
      </c>
      <c r="P192" t="s">
        <v>94</v>
      </c>
      <c r="Q192" t="s">
        <v>93</v>
      </c>
    </row>
    <row r="193" spans="1:17" x14ac:dyDescent="0.3">
      <c r="A193">
        <v>2004657618</v>
      </c>
      <c r="B193">
        <v>1</v>
      </c>
      <c r="C193">
        <v>524072881</v>
      </c>
      <c r="D193" t="s">
        <v>95</v>
      </c>
      <c r="E193" t="s">
        <v>18</v>
      </c>
      <c r="F193" t="s">
        <v>22</v>
      </c>
      <c r="G193" t="s">
        <v>60</v>
      </c>
      <c r="H193">
        <v>1</v>
      </c>
      <c r="I193">
        <f>_xlfn.XLOOKUP(G193, tablica!$R$3:$R$34, tablica!$T$3:$T$34)</f>
        <v>151</v>
      </c>
      <c r="J193">
        <f t="shared" si="2"/>
        <v>151</v>
      </c>
      <c r="K193" s="1">
        <v>43409.520833333336</v>
      </c>
      <c r="L193">
        <v>8888</v>
      </c>
      <c r="M193">
        <f>_xlfn.XLOOKUP(G193, tablica!$R$3:$R$34, tablica!$U$3:$U$34)</f>
        <v>11000217</v>
      </c>
      <c r="N193">
        <f>_xlfn.XLOOKUP(G193, tablica!$R$3:$R$34, tablica!$V$3:$V$34)</f>
        <v>248226542077</v>
      </c>
      <c r="O193">
        <v>1131980</v>
      </c>
      <c r="P193" t="s">
        <v>94</v>
      </c>
      <c r="Q193" t="s">
        <v>93</v>
      </c>
    </row>
    <row r="194" spans="1:17" x14ac:dyDescent="0.3">
      <c r="A194">
        <v>2004657619</v>
      </c>
      <c r="B194">
        <v>1</v>
      </c>
      <c r="C194">
        <v>524072881</v>
      </c>
      <c r="D194" t="s">
        <v>95</v>
      </c>
      <c r="E194" t="s">
        <v>21</v>
      </c>
      <c r="F194" t="s">
        <v>25</v>
      </c>
      <c r="G194" t="s">
        <v>26</v>
      </c>
      <c r="H194">
        <v>1</v>
      </c>
      <c r="I194">
        <f>_xlfn.XLOOKUP(G194, tablica!$R$3:$R$34, tablica!$T$3:$T$34)</f>
        <v>81</v>
      </c>
      <c r="J194">
        <f t="shared" ref="J194:J206" si="3">H194*I194</f>
        <v>81</v>
      </c>
      <c r="K194" s="1">
        <v>43422.386111111111</v>
      </c>
      <c r="L194">
        <v>8888</v>
      </c>
      <c r="M194">
        <f>_xlfn.XLOOKUP(G194, tablica!$R$3:$R$34, tablica!$U$3:$U$34)</f>
        <v>11000382</v>
      </c>
      <c r="N194">
        <f>_xlfn.XLOOKUP(G194, tablica!$R$3:$R$34, tablica!$V$3:$V$34)</f>
        <v>253569993627</v>
      </c>
      <c r="O194">
        <v>1131980</v>
      </c>
      <c r="P194" t="s">
        <v>94</v>
      </c>
      <c r="Q194" t="s">
        <v>93</v>
      </c>
    </row>
    <row r="195" spans="1:17" x14ac:dyDescent="0.3">
      <c r="A195">
        <v>2004657620</v>
      </c>
      <c r="B195">
        <v>1</v>
      </c>
      <c r="C195">
        <v>524072881</v>
      </c>
      <c r="D195" t="s">
        <v>95</v>
      </c>
      <c r="E195" t="s">
        <v>18</v>
      </c>
      <c r="F195" t="s">
        <v>29</v>
      </c>
      <c r="G195" t="s">
        <v>32</v>
      </c>
      <c r="H195">
        <v>10</v>
      </c>
      <c r="I195">
        <f>_xlfn.XLOOKUP(G195, tablica!$R$3:$R$34, tablica!$T$3:$T$34)</f>
        <v>217</v>
      </c>
      <c r="J195">
        <f t="shared" si="3"/>
        <v>2170</v>
      </c>
      <c r="K195" s="1">
        <v>43422.605555555558</v>
      </c>
      <c r="L195">
        <v>8888</v>
      </c>
      <c r="M195">
        <f>_xlfn.XLOOKUP(G195, tablica!$R$3:$R$34, tablica!$U$3:$U$34)</f>
        <v>11000428</v>
      </c>
      <c r="N195">
        <f>_xlfn.XLOOKUP(G195, tablica!$R$3:$R$34, tablica!$V$3:$V$34)</f>
        <v>332966150556</v>
      </c>
      <c r="O195">
        <v>1131980</v>
      </c>
      <c r="P195" t="s">
        <v>94</v>
      </c>
      <c r="Q195" t="s">
        <v>93</v>
      </c>
    </row>
    <row r="196" spans="1:17" x14ac:dyDescent="0.3">
      <c r="A196">
        <v>2004657621</v>
      </c>
      <c r="B196">
        <v>1</v>
      </c>
      <c r="C196">
        <v>524072881</v>
      </c>
      <c r="D196" t="s">
        <v>95</v>
      </c>
      <c r="E196" t="s">
        <v>18</v>
      </c>
      <c r="F196" t="s">
        <v>54</v>
      </c>
      <c r="G196" t="s">
        <v>89</v>
      </c>
      <c r="H196">
        <v>1</v>
      </c>
      <c r="I196">
        <f>_xlfn.XLOOKUP(G196, tablica!$R$3:$R$34, tablica!$T$3:$T$34)</f>
        <v>56</v>
      </c>
      <c r="J196">
        <f t="shared" si="3"/>
        <v>56</v>
      </c>
      <c r="K196" s="1">
        <v>43423.250694444447</v>
      </c>
      <c r="L196">
        <v>8888</v>
      </c>
      <c r="M196">
        <f>_xlfn.XLOOKUP(G196, tablica!$R$3:$R$34, tablica!$U$3:$U$34)</f>
        <v>11000234</v>
      </c>
      <c r="N196">
        <f>_xlfn.XLOOKUP(G196, tablica!$R$3:$R$34, tablica!$V$3:$V$34)</f>
        <v>443385592730</v>
      </c>
      <c r="O196">
        <v>1131980</v>
      </c>
      <c r="P196" t="s">
        <v>94</v>
      </c>
      <c r="Q196" t="s">
        <v>93</v>
      </c>
    </row>
    <row r="197" spans="1:17" x14ac:dyDescent="0.3">
      <c r="A197">
        <v>2004657622</v>
      </c>
      <c r="B197">
        <v>1</v>
      </c>
      <c r="C197">
        <v>524072881</v>
      </c>
      <c r="D197" t="s">
        <v>95</v>
      </c>
      <c r="E197" t="s">
        <v>18</v>
      </c>
      <c r="F197" t="s">
        <v>47</v>
      </c>
      <c r="G197" t="s">
        <v>77</v>
      </c>
      <c r="H197">
        <v>10</v>
      </c>
      <c r="I197">
        <f>_xlfn.XLOOKUP(G197, tablica!$R$3:$R$34, tablica!$T$3:$T$34)</f>
        <v>158</v>
      </c>
      <c r="J197">
        <f t="shared" si="3"/>
        <v>1580</v>
      </c>
      <c r="K197" s="1">
        <v>43424.420138888891</v>
      </c>
      <c r="L197">
        <v>8888</v>
      </c>
      <c r="M197">
        <f>_xlfn.XLOOKUP(G197, tablica!$R$3:$R$34, tablica!$U$3:$U$34)</f>
        <v>11000171</v>
      </c>
      <c r="N197">
        <f>_xlfn.XLOOKUP(G197, tablica!$R$3:$R$34, tablica!$V$3:$V$34)</f>
        <v>137061556926</v>
      </c>
      <c r="O197">
        <v>1131980</v>
      </c>
      <c r="P197" t="s">
        <v>94</v>
      </c>
      <c r="Q197" t="s">
        <v>93</v>
      </c>
    </row>
    <row r="198" spans="1:17" x14ac:dyDescent="0.3">
      <c r="A198">
        <v>2004657623</v>
      </c>
      <c r="B198">
        <v>1</v>
      </c>
      <c r="C198">
        <v>524072881</v>
      </c>
      <c r="D198" t="s">
        <v>95</v>
      </c>
      <c r="E198" t="s">
        <v>21</v>
      </c>
      <c r="F198" t="s">
        <v>22</v>
      </c>
      <c r="G198" t="s">
        <v>23</v>
      </c>
      <c r="H198">
        <v>1</v>
      </c>
      <c r="I198">
        <f>_xlfn.XLOOKUP(G198, tablica!$R$3:$R$34, tablica!$T$3:$T$34)</f>
        <v>169</v>
      </c>
      <c r="J198">
        <f t="shared" si="3"/>
        <v>169</v>
      </c>
      <c r="K198" s="1">
        <v>43424.486805555556</v>
      </c>
      <c r="L198">
        <v>8888</v>
      </c>
      <c r="M198">
        <f>_xlfn.XLOOKUP(G198, tablica!$R$3:$R$34, tablica!$U$3:$U$34)</f>
        <v>11000412</v>
      </c>
      <c r="N198">
        <f>_xlfn.XLOOKUP(G198, tablica!$R$3:$R$34, tablica!$V$3:$V$34)</f>
        <v>176527023908</v>
      </c>
      <c r="O198">
        <v>1131980</v>
      </c>
      <c r="P198" t="s">
        <v>94</v>
      </c>
      <c r="Q198" t="s">
        <v>93</v>
      </c>
    </row>
    <row r="199" spans="1:17" x14ac:dyDescent="0.3">
      <c r="A199">
        <v>2004657624</v>
      </c>
      <c r="B199">
        <v>1</v>
      </c>
      <c r="C199">
        <v>524072881</v>
      </c>
      <c r="D199" t="s">
        <v>95</v>
      </c>
      <c r="E199" t="s">
        <v>18</v>
      </c>
      <c r="F199" t="s">
        <v>19</v>
      </c>
      <c r="G199" t="s">
        <v>20</v>
      </c>
      <c r="H199">
        <v>1</v>
      </c>
      <c r="I199">
        <f>_xlfn.XLOOKUP(G199, tablica!$R$3:$R$34, tablica!$T$3:$T$34)</f>
        <v>50</v>
      </c>
      <c r="J199">
        <f t="shared" si="3"/>
        <v>50</v>
      </c>
      <c r="K199" s="1">
        <v>43424.486805555556</v>
      </c>
      <c r="L199">
        <v>8888</v>
      </c>
      <c r="M199">
        <f>_xlfn.XLOOKUP(G199, tablica!$R$3:$R$34, tablica!$U$3:$U$34)</f>
        <v>11000317</v>
      </c>
      <c r="N199">
        <f>_xlfn.XLOOKUP(G199, tablica!$R$3:$R$34, tablica!$V$3:$V$34)</f>
        <v>241391757902</v>
      </c>
      <c r="O199">
        <v>1131980</v>
      </c>
      <c r="P199" t="s">
        <v>94</v>
      </c>
      <c r="Q199" t="s">
        <v>93</v>
      </c>
    </row>
    <row r="200" spans="1:17" x14ac:dyDescent="0.3">
      <c r="A200">
        <v>2004657625</v>
      </c>
      <c r="B200">
        <v>1</v>
      </c>
      <c r="C200">
        <v>524072881</v>
      </c>
      <c r="D200" t="s">
        <v>95</v>
      </c>
      <c r="E200" t="s">
        <v>18</v>
      </c>
      <c r="F200" t="s">
        <v>29</v>
      </c>
      <c r="G200" t="s">
        <v>30</v>
      </c>
      <c r="H200">
        <v>10</v>
      </c>
      <c r="I200">
        <f>_xlfn.XLOOKUP(G200, tablica!$R$3:$R$34, tablica!$T$3:$T$34)</f>
        <v>156</v>
      </c>
      <c r="J200">
        <f t="shared" si="3"/>
        <v>1560</v>
      </c>
      <c r="K200" s="1">
        <v>43428.659722222219</v>
      </c>
      <c r="L200">
        <v>8888</v>
      </c>
      <c r="M200">
        <f>_xlfn.XLOOKUP(G200, tablica!$R$3:$R$34, tablica!$U$3:$U$34)</f>
        <v>11000301</v>
      </c>
      <c r="N200">
        <f>_xlfn.XLOOKUP(G200, tablica!$R$3:$R$34, tablica!$V$3:$V$34)</f>
        <v>440331456754</v>
      </c>
      <c r="O200">
        <v>1131980</v>
      </c>
      <c r="P200" t="s">
        <v>94</v>
      </c>
      <c r="Q200" t="s">
        <v>93</v>
      </c>
    </row>
    <row r="201" spans="1:17" x14ac:dyDescent="0.3">
      <c r="A201">
        <v>2004657626</v>
      </c>
      <c r="B201">
        <v>1</v>
      </c>
      <c r="C201">
        <v>524072881</v>
      </c>
      <c r="D201" t="s">
        <v>95</v>
      </c>
      <c r="E201" t="s">
        <v>18</v>
      </c>
      <c r="F201" t="s">
        <v>29</v>
      </c>
      <c r="G201" t="s">
        <v>32</v>
      </c>
      <c r="H201">
        <v>10</v>
      </c>
      <c r="I201">
        <f>_xlfn.XLOOKUP(G201, tablica!$R$3:$R$34, tablica!$T$3:$T$34)</f>
        <v>217</v>
      </c>
      <c r="J201">
        <f t="shared" si="3"/>
        <v>2170</v>
      </c>
      <c r="K201" s="1">
        <v>43429.457638888889</v>
      </c>
      <c r="L201">
        <v>8888</v>
      </c>
      <c r="M201">
        <f>_xlfn.XLOOKUP(G201, tablica!$R$3:$R$34, tablica!$U$3:$U$34)</f>
        <v>11000428</v>
      </c>
      <c r="N201">
        <f>_xlfn.XLOOKUP(G201, tablica!$R$3:$R$34, tablica!$V$3:$V$34)</f>
        <v>332966150556</v>
      </c>
      <c r="O201">
        <v>1131980</v>
      </c>
      <c r="P201" t="s">
        <v>94</v>
      </c>
      <c r="Q201" t="s">
        <v>93</v>
      </c>
    </row>
    <row r="202" spans="1:17" x14ac:dyDescent="0.3">
      <c r="A202">
        <v>2004657627</v>
      </c>
      <c r="B202">
        <v>1</v>
      </c>
      <c r="C202">
        <v>524072881</v>
      </c>
      <c r="D202" t="s">
        <v>95</v>
      </c>
      <c r="E202" t="s">
        <v>18</v>
      </c>
      <c r="F202" t="s">
        <v>47</v>
      </c>
      <c r="G202" t="s">
        <v>78</v>
      </c>
      <c r="H202">
        <v>10</v>
      </c>
      <c r="I202">
        <f>_xlfn.XLOOKUP(G202, tablica!$R$3:$R$34, tablica!$T$3:$T$34)</f>
        <v>78</v>
      </c>
      <c r="J202">
        <f t="shared" si="3"/>
        <v>780</v>
      </c>
      <c r="K202" s="1">
        <v>43430.361111111109</v>
      </c>
      <c r="L202">
        <v>8888</v>
      </c>
      <c r="M202">
        <f>_xlfn.XLOOKUP(G202, tablica!$R$3:$R$34, tablica!$U$3:$U$34)</f>
        <v>11000137</v>
      </c>
      <c r="N202">
        <f>_xlfn.XLOOKUP(G202, tablica!$R$3:$R$34, tablica!$V$3:$V$34)</f>
        <v>66309439958</v>
      </c>
      <c r="O202">
        <v>1131980</v>
      </c>
      <c r="P202" t="s">
        <v>94</v>
      </c>
      <c r="Q202" t="s">
        <v>93</v>
      </c>
    </row>
    <row r="203" spans="1:17" x14ac:dyDescent="0.3">
      <c r="A203">
        <v>2004657628</v>
      </c>
      <c r="B203">
        <v>1</v>
      </c>
      <c r="C203">
        <v>524072881</v>
      </c>
      <c r="D203" t="s">
        <v>95</v>
      </c>
      <c r="E203" t="s">
        <v>18</v>
      </c>
      <c r="F203" t="s">
        <v>19</v>
      </c>
      <c r="G203" t="s">
        <v>91</v>
      </c>
      <c r="H203">
        <v>1</v>
      </c>
      <c r="I203">
        <f>_xlfn.XLOOKUP(G203, tablica!$R$3:$R$34, tablica!$T$3:$T$34)</f>
        <v>180</v>
      </c>
      <c r="J203">
        <f t="shared" si="3"/>
        <v>180</v>
      </c>
      <c r="K203" s="1">
        <v>43431.449305555558</v>
      </c>
      <c r="L203">
        <v>8888</v>
      </c>
      <c r="M203">
        <f>_xlfn.XLOOKUP(G203, tablica!$R$3:$R$34, tablica!$U$3:$U$34)</f>
        <v>11000322</v>
      </c>
      <c r="N203">
        <f>_xlfn.XLOOKUP(G203, tablica!$R$3:$R$34, tablica!$V$3:$V$34)</f>
        <v>279589783878</v>
      </c>
      <c r="O203">
        <v>1131980</v>
      </c>
      <c r="P203" t="s">
        <v>94</v>
      </c>
      <c r="Q203" t="s">
        <v>93</v>
      </c>
    </row>
    <row r="204" spans="1:17" x14ac:dyDescent="0.3">
      <c r="A204">
        <v>2004657629</v>
      </c>
      <c r="B204">
        <v>1</v>
      </c>
      <c r="C204">
        <v>524072881</v>
      </c>
      <c r="D204" t="s">
        <v>95</v>
      </c>
      <c r="E204" t="s">
        <v>18</v>
      </c>
      <c r="F204" t="s">
        <v>22</v>
      </c>
      <c r="G204" t="s">
        <v>23</v>
      </c>
      <c r="H204">
        <v>1</v>
      </c>
      <c r="I204">
        <f>_xlfn.XLOOKUP(G204, tablica!$R$3:$R$34, tablica!$T$3:$T$34)</f>
        <v>169</v>
      </c>
      <c r="J204">
        <f t="shared" si="3"/>
        <v>169</v>
      </c>
      <c r="K204" s="1">
        <v>43431.643750000003</v>
      </c>
      <c r="L204">
        <v>8888</v>
      </c>
      <c r="M204">
        <f>_xlfn.XLOOKUP(G204, tablica!$R$3:$R$34, tablica!$U$3:$U$34)</f>
        <v>11000412</v>
      </c>
      <c r="N204">
        <f>_xlfn.XLOOKUP(G204, tablica!$R$3:$R$34, tablica!$V$3:$V$34)</f>
        <v>176527023908</v>
      </c>
      <c r="O204">
        <v>1131980</v>
      </c>
      <c r="P204" t="s">
        <v>94</v>
      </c>
      <c r="Q204" t="s">
        <v>93</v>
      </c>
    </row>
    <row r="205" spans="1:17" x14ac:dyDescent="0.3">
      <c r="A205">
        <v>2004657630</v>
      </c>
      <c r="B205">
        <v>1</v>
      </c>
      <c r="C205">
        <v>524072881</v>
      </c>
      <c r="D205" t="s">
        <v>95</v>
      </c>
      <c r="E205" t="s">
        <v>18</v>
      </c>
      <c r="F205" t="s">
        <v>19</v>
      </c>
      <c r="G205" t="s">
        <v>20</v>
      </c>
      <c r="H205">
        <v>1</v>
      </c>
      <c r="I205">
        <f>_xlfn.XLOOKUP(G205, tablica!$R$3:$R$34, tablica!$T$3:$T$34)</f>
        <v>50</v>
      </c>
      <c r="J205">
        <f t="shared" si="3"/>
        <v>50</v>
      </c>
      <c r="K205" s="1">
        <v>43431.644444444442</v>
      </c>
      <c r="L205">
        <v>8888</v>
      </c>
      <c r="M205">
        <f>_xlfn.XLOOKUP(G205, tablica!$R$3:$R$34, tablica!$U$3:$U$34)</f>
        <v>11000317</v>
      </c>
      <c r="N205">
        <f>_xlfn.XLOOKUP(G205, tablica!$R$3:$R$34, tablica!$V$3:$V$34)</f>
        <v>241391757902</v>
      </c>
      <c r="O205">
        <v>1131980</v>
      </c>
      <c r="P205" t="s">
        <v>94</v>
      </c>
      <c r="Q205" t="s">
        <v>93</v>
      </c>
    </row>
    <row r="206" spans="1:17" x14ac:dyDescent="0.3">
      <c r="A206">
        <v>2004657631</v>
      </c>
      <c r="B206">
        <v>1</v>
      </c>
      <c r="C206">
        <v>524072881</v>
      </c>
      <c r="D206" t="s">
        <v>95</v>
      </c>
      <c r="E206" t="s">
        <v>21</v>
      </c>
      <c r="F206" t="s">
        <v>54</v>
      </c>
      <c r="G206" t="s">
        <v>55</v>
      </c>
      <c r="H206">
        <v>1</v>
      </c>
      <c r="I206">
        <f>_xlfn.XLOOKUP(G206, tablica!$R$3:$R$34, tablica!$T$3:$T$34)</f>
        <v>271</v>
      </c>
      <c r="J206">
        <f t="shared" si="3"/>
        <v>271</v>
      </c>
      <c r="K206" s="1">
        <v>43431.644444444442</v>
      </c>
      <c r="L206">
        <v>8888</v>
      </c>
      <c r="M206">
        <f>_xlfn.XLOOKUP(G206, tablica!$R$3:$R$34, tablica!$U$3:$U$34)</f>
        <v>11000478</v>
      </c>
      <c r="N206">
        <f>_xlfn.XLOOKUP(G206, tablica!$R$3:$R$34, tablica!$V$3:$V$34)</f>
        <v>438889327432</v>
      </c>
      <c r="O206">
        <v>1131980</v>
      </c>
      <c r="P206" t="s">
        <v>94</v>
      </c>
      <c r="Q206" t="s">
        <v>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8745-9D85-47BC-BAA7-BD886174C133}">
  <dimension ref="A1:V206"/>
  <sheetViews>
    <sheetView topLeftCell="J1" workbookViewId="0">
      <selection activeCell="U4" sqref="U4"/>
    </sheetView>
  </sheetViews>
  <sheetFormatPr defaultRowHeight="14.4" x14ac:dyDescent="0.3"/>
  <cols>
    <col min="1" max="1" width="40.6640625" customWidth="1"/>
    <col min="2" max="2" width="29.5546875" customWidth="1"/>
    <col min="3" max="7" width="8.88671875" customWidth="1"/>
    <col min="8" max="8" width="25.33203125" customWidth="1"/>
    <col min="9" max="9" width="8.88671875" customWidth="1"/>
    <col min="10" max="10" width="40.6640625" customWidth="1"/>
    <col min="11" max="11" width="29" customWidth="1"/>
    <col min="12" max="13" width="8.88671875" customWidth="1"/>
    <col min="14" max="14" width="32.88671875" customWidth="1"/>
    <col min="15" max="15" width="19.77734375" customWidth="1"/>
    <col min="18" max="18" width="25.5546875" customWidth="1"/>
    <col min="21" max="21" width="17.33203125" customWidth="1"/>
    <col min="22" max="22" width="28.21875" customWidth="1"/>
  </cols>
  <sheetData>
    <row r="1" spans="1:22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12</v>
      </c>
      <c r="G1" t="s">
        <v>13</v>
      </c>
    </row>
    <row r="2" spans="1:22" x14ac:dyDescent="0.3">
      <c r="A2" t="s">
        <v>42</v>
      </c>
      <c r="B2" t="s">
        <v>44</v>
      </c>
      <c r="C2">
        <v>1</v>
      </c>
      <c r="D2">
        <v>44.04</v>
      </c>
      <c r="E2">
        <v>44.04</v>
      </c>
      <c r="F2">
        <v>11004601</v>
      </c>
      <c r="G2" t="s">
        <v>45</v>
      </c>
    </row>
    <row r="3" spans="1:22" x14ac:dyDescent="0.3">
      <c r="A3" t="s">
        <v>19</v>
      </c>
      <c r="B3" t="s">
        <v>46</v>
      </c>
      <c r="C3">
        <v>1</v>
      </c>
      <c r="D3">
        <v>28.47</v>
      </c>
      <c r="E3">
        <v>28.47</v>
      </c>
      <c r="F3">
        <v>11007545</v>
      </c>
      <c r="G3" s="2">
        <v>501150000000</v>
      </c>
      <c r="K3" t="s">
        <v>44</v>
      </c>
      <c r="L3">
        <f>_xlfn.XLOOKUP(K3, $B$2:$B$206, $C$2:$C$206)</f>
        <v>1</v>
      </c>
      <c r="M3">
        <f>_xlfn.XLOOKUP(K3, $B$2:$B$206, $D$2:$D$206)</f>
        <v>44.04</v>
      </c>
      <c r="N3">
        <f xml:space="preserve"> _xlfn.XLOOKUP(K3, $B$2:$B$206,$F$2:$F$206)</f>
        <v>11004601</v>
      </c>
      <c r="O3" t="str">
        <f xml:space="preserve"> _xlfn.XLOOKUP(K3, $B$2:$B$206,$G$2:$G$206)</f>
        <v>501130090003-1</v>
      </c>
      <c r="R3" t="s">
        <v>44</v>
      </c>
      <c r="S3">
        <v>1</v>
      </c>
      <c r="T3">
        <v>165</v>
      </c>
      <c r="U3">
        <v>11000409</v>
      </c>
      <c r="V3">
        <v>490310551016</v>
      </c>
    </row>
    <row r="4" spans="1:22" x14ac:dyDescent="0.3">
      <c r="A4" t="s">
        <v>47</v>
      </c>
      <c r="B4" t="s">
        <v>48</v>
      </c>
      <c r="C4">
        <v>10</v>
      </c>
      <c r="D4">
        <v>10.44</v>
      </c>
      <c r="E4">
        <v>104.4</v>
      </c>
      <c r="F4" t="s">
        <v>49</v>
      </c>
      <c r="G4" s="2">
        <v>501120000000</v>
      </c>
      <c r="K4" t="s">
        <v>46</v>
      </c>
      <c r="L4">
        <f t="shared" ref="L4:L34" si="0">_xlfn.XLOOKUP(K4, $B$2:$B$206, $C$2:$C$206)</f>
        <v>1</v>
      </c>
      <c r="M4">
        <f t="shared" ref="M4:M34" si="1">_xlfn.XLOOKUP(K4, $B$2:$B$206, $D$2:$D$206)</f>
        <v>28.47</v>
      </c>
      <c r="N4">
        <f t="shared" ref="N4:N34" si="2" xml:space="preserve"> _xlfn.XLOOKUP(K4, $B$2:$B$206,$F$2:$F$206)</f>
        <v>11007545</v>
      </c>
      <c r="O4">
        <f t="shared" ref="O4:O34" si="3" xml:space="preserve"> _xlfn.XLOOKUP(K4, $B$2:$B$206,$G$2:$G$206)</f>
        <v>501150000000</v>
      </c>
      <c r="R4" t="s">
        <v>46</v>
      </c>
      <c r="S4">
        <v>1</v>
      </c>
      <c r="T4">
        <v>259</v>
      </c>
      <c r="U4">
        <v>11000444</v>
      </c>
      <c r="V4">
        <v>244057088175</v>
      </c>
    </row>
    <row r="5" spans="1:22" x14ac:dyDescent="0.3">
      <c r="A5" t="s">
        <v>22</v>
      </c>
      <c r="B5" t="s">
        <v>23</v>
      </c>
      <c r="C5">
        <v>1</v>
      </c>
      <c r="D5">
        <v>289.63</v>
      </c>
      <c r="E5">
        <v>289.63</v>
      </c>
      <c r="F5">
        <v>11004942</v>
      </c>
      <c r="G5" s="2">
        <v>501130000000</v>
      </c>
      <c r="K5" t="s">
        <v>48</v>
      </c>
      <c r="L5">
        <f t="shared" si="0"/>
        <v>10</v>
      </c>
      <c r="M5">
        <f t="shared" si="1"/>
        <v>10.44</v>
      </c>
      <c r="N5" t="str">
        <f t="shared" si="2"/>
        <v>943X9215</v>
      </c>
      <c r="O5">
        <f t="shared" si="3"/>
        <v>501120000000</v>
      </c>
      <c r="R5" t="s">
        <v>48</v>
      </c>
      <c r="S5">
        <v>10</v>
      </c>
      <c r="T5">
        <v>59</v>
      </c>
      <c r="U5">
        <v>11000490</v>
      </c>
      <c r="V5">
        <v>288866335589</v>
      </c>
    </row>
    <row r="6" spans="1:22" x14ac:dyDescent="0.3">
      <c r="A6" t="s">
        <v>19</v>
      </c>
      <c r="B6" t="s">
        <v>20</v>
      </c>
      <c r="C6">
        <v>1</v>
      </c>
      <c r="D6">
        <v>12.74</v>
      </c>
      <c r="E6">
        <v>12.74</v>
      </c>
      <c r="F6">
        <v>11091102</v>
      </c>
      <c r="G6" t="s">
        <v>50</v>
      </c>
      <c r="K6" t="s">
        <v>23</v>
      </c>
      <c r="L6">
        <f t="shared" si="0"/>
        <v>1</v>
      </c>
      <c r="M6">
        <f t="shared" si="1"/>
        <v>289.63</v>
      </c>
      <c r="N6">
        <f t="shared" si="2"/>
        <v>11004942</v>
      </c>
      <c r="O6">
        <f t="shared" si="3"/>
        <v>501130000000</v>
      </c>
      <c r="R6" t="s">
        <v>23</v>
      </c>
      <c r="S6">
        <v>1</v>
      </c>
      <c r="T6">
        <v>169</v>
      </c>
      <c r="U6">
        <v>11000412</v>
      </c>
      <c r="V6">
        <v>176527023908</v>
      </c>
    </row>
    <row r="7" spans="1:22" x14ac:dyDescent="0.3">
      <c r="A7" t="s">
        <v>22</v>
      </c>
      <c r="B7" t="s">
        <v>33</v>
      </c>
      <c r="C7">
        <v>1</v>
      </c>
      <c r="D7">
        <v>67.91</v>
      </c>
      <c r="E7">
        <v>67.91</v>
      </c>
      <c r="F7" t="s">
        <v>34</v>
      </c>
      <c r="G7" t="s">
        <v>35</v>
      </c>
      <c r="K7" t="s">
        <v>20</v>
      </c>
      <c r="L7">
        <f t="shared" si="0"/>
        <v>1</v>
      </c>
      <c r="M7">
        <f t="shared" si="1"/>
        <v>12.74</v>
      </c>
      <c r="N7">
        <f t="shared" si="2"/>
        <v>11091102</v>
      </c>
      <c r="O7" t="str">
        <f t="shared" si="3"/>
        <v>501150100005-1</v>
      </c>
      <c r="R7" t="s">
        <v>20</v>
      </c>
      <c r="S7">
        <v>1</v>
      </c>
      <c r="T7">
        <v>50</v>
      </c>
      <c r="U7">
        <v>11000317</v>
      </c>
      <c r="V7">
        <v>241391757902</v>
      </c>
    </row>
    <row r="8" spans="1:22" x14ac:dyDescent="0.3">
      <c r="A8" t="s">
        <v>36</v>
      </c>
      <c r="B8" t="s">
        <v>37</v>
      </c>
      <c r="C8">
        <v>5</v>
      </c>
      <c r="D8">
        <v>16.54</v>
      </c>
      <c r="E8">
        <v>82.7</v>
      </c>
      <c r="F8" t="s">
        <v>38</v>
      </c>
      <c r="G8" s="2">
        <v>501121000000</v>
      </c>
      <c r="K8" t="s">
        <v>33</v>
      </c>
      <c r="L8">
        <f t="shared" si="0"/>
        <v>1</v>
      </c>
      <c r="M8">
        <f t="shared" si="1"/>
        <v>67.91</v>
      </c>
      <c r="N8" t="str">
        <f t="shared" si="2"/>
        <v>943B3020</v>
      </c>
      <c r="O8" t="str">
        <f t="shared" si="3"/>
        <v>501140240000-1</v>
      </c>
      <c r="R8" t="s">
        <v>33</v>
      </c>
      <c r="S8">
        <v>1</v>
      </c>
      <c r="T8">
        <v>145</v>
      </c>
      <c r="U8">
        <v>11000269</v>
      </c>
      <c r="V8">
        <v>363236906370</v>
      </c>
    </row>
    <row r="9" spans="1:22" x14ac:dyDescent="0.3">
      <c r="A9" t="s">
        <v>22</v>
      </c>
      <c r="B9" t="s">
        <v>33</v>
      </c>
      <c r="C9">
        <v>1</v>
      </c>
      <c r="D9">
        <v>67.91</v>
      </c>
      <c r="E9">
        <v>67.91</v>
      </c>
      <c r="F9" t="s">
        <v>34</v>
      </c>
      <c r="G9" t="s">
        <v>35</v>
      </c>
      <c r="K9" t="s">
        <v>37</v>
      </c>
      <c r="L9">
        <f t="shared" si="0"/>
        <v>5</v>
      </c>
      <c r="M9">
        <f t="shared" si="1"/>
        <v>16.54</v>
      </c>
      <c r="N9" t="str">
        <f t="shared" si="2"/>
        <v>943X9988</v>
      </c>
      <c r="O9">
        <f t="shared" si="3"/>
        <v>501121000000</v>
      </c>
      <c r="R9" t="s">
        <v>37</v>
      </c>
      <c r="S9">
        <v>5</v>
      </c>
      <c r="T9">
        <v>86</v>
      </c>
      <c r="U9">
        <v>11000265</v>
      </c>
      <c r="V9">
        <v>79046819988</v>
      </c>
    </row>
    <row r="10" spans="1:22" x14ac:dyDescent="0.3">
      <c r="A10" t="s">
        <v>22</v>
      </c>
      <c r="B10" t="s">
        <v>23</v>
      </c>
      <c r="C10">
        <v>1</v>
      </c>
      <c r="D10">
        <v>289.63</v>
      </c>
      <c r="E10">
        <v>289.63</v>
      </c>
      <c r="F10">
        <v>11004942</v>
      </c>
      <c r="G10" s="2">
        <v>501130000000</v>
      </c>
      <c r="K10" t="s">
        <v>32</v>
      </c>
      <c r="L10">
        <f t="shared" si="0"/>
        <v>10</v>
      </c>
      <c r="M10">
        <f t="shared" si="1"/>
        <v>6.61</v>
      </c>
      <c r="N10">
        <f t="shared" si="2"/>
        <v>501121000000</v>
      </c>
      <c r="O10">
        <f t="shared" si="3"/>
        <v>501121000000</v>
      </c>
      <c r="R10" t="s">
        <v>32</v>
      </c>
      <c r="S10">
        <v>10</v>
      </c>
      <c r="T10">
        <v>217</v>
      </c>
      <c r="U10">
        <v>11000428</v>
      </c>
      <c r="V10">
        <v>332966150556</v>
      </c>
    </row>
    <row r="11" spans="1:22" x14ac:dyDescent="0.3">
      <c r="A11" t="s">
        <v>19</v>
      </c>
      <c r="B11" t="s">
        <v>20</v>
      </c>
      <c r="C11">
        <v>1</v>
      </c>
      <c r="D11">
        <v>12.74</v>
      </c>
      <c r="E11">
        <v>12.74</v>
      </c>
      <c r="F11">
        <v>11091102</v>
      </c>
      <c r="G11" t="s">
        <v>50</v>
      </c>
      <c r="K11" t="s">
        <v>30</v>
      </c>
      <c r="L11">
        <f t="shared" si="0"/>
        <v>10</v>
      </c>
      <c r="M11">
        <f t="shared" si="1"/>
        <v>7.92</v>
      </c>
      <c r="N11" t="str">
        <f t="shared" si="2"/>
        <v>943X1018</v>
      </c>
      <c r="O11">
        <f t="shared" si="3"/>
        <v>501121000000</v>
      </c>
      <c r="R11" t="s">
        <v>30</v>
      </c>
      <c r="S11">
        <v>10</v>
      </c>
      <c r="T11">
        <v>156</v>
      </c>
      <c r="U11">
        <v>11000301</v>
      </c>
      <c r="V11">
        <v>440331456754</v>
      </c>
    </row>
    <row r="12" spans="1:22" x14ac:dyDescent="0.3">
      <c r="A12" t="s">
        <v>29</v>
      </c>
      <c r="B12" t="s">
        <v>32</v>
      </c>
      <c r="C12">
        <v>10</v>
      </c>
      <c r="D12">
        <v>6.61</v>
      </c>
      <c r="E12">
        <v>66.099999999999994</v>
      </c>
      <c r="F12" s="2">
        <v>501121000000</v>
      </c>
      <c r="G12" s="2">
        <v>501121000000</v>
      </c>
      <c r="K12" t="s">
        <v>51</v>
      </c>
      <c r="L12">
        <f t="shared" si="0"/>
        <v>1</v>
      </c>
      <c r="M12">
        <f t="shared" si="1"/>
        <v>132.96</v>
      </c>
      <c r="N12" t="str">
        <f t="shared" si="2"/>
        <v>943G0231</v>
      </c>
      <c r="O12">
        <f t="shared" si="3"/>
        <v>501150000000</v>
      </c>
      <c r="R12" t="s">
        <v>51</v>
      </c>
      <c r="S12">
        <v>1</v>
      </c>
      <c r="T12">
        <v>99</v>
      </c>
      <c r="U12">
        <v>11000495</v>
      </c>
      <c r="V12">
        <v>490068000560</v>
      </c>
    </row>
    <row r="13" spans="1:22" x14ac:dyDescent="0.3">
      <c r="A13" t="s">
        <v>22</v>
      </c>
      <c r="B13" t="s">
        <v>33</v>
      </c>
      <c r="C13">
        <v>1</v>
      </c>
      <c r="D13">
        <v>67.91</v>
      </c>
      <c r="E13">
        <v>67.91</v>
      </c>
      <c r="F13" t="s">
        <v>34</v>
      </c>
      <c r="G13" t="s">
        <v>35</v>
      </c>
      <c r="K13" t="s">
        <v>53</v>
      </c>
      <c r="L13">
        <f t="shared" si="0"/>
        <v>1</v>
      </c>
      <c r="M13">
        <f t="shared" si="1"/>
        <v>296.37</v>
      </c>
      <c r="N13">
        <f t="shared" si="2"/>
        <v>11005753</v>
      </c>
      <c r="O13">
        <f t="shared" si="3"/>
        <v>501140000000</v>
      </c>
      <c r="R13" t="s">
        <v>53</v>
      </c>
      <c r="S13">
        <v>1</v>
      </c>
      <c r="T13">
        <v>131</v>
      </c>
      <c r="U13">
        <v>11000241</v>
      </c>
      <c r="V13">
        <v>65225337712</v>
      </c>
    </row>
    <row r="14" spans="1:22" x14ac:dyDescent="0.3">
      <c r="A14" t="s">
        <v>29</v>
      </c>
      <c r="B14" t="s">
        <v>30</v>
      </c>
      <c r="C14">
        <v>10</v>
      </c>
      <c r="D14">
        <v>7.92</v>
      </c>
      <c r="E14">
        <v>79.2</v>
      </c>
      <c r="F14" t="s">
        <v>31</v>
      </c>
      <c r="G14" s="2">
        <v>501121000000</v>
      </c>
      <c r="K14" t="s">
        <v>26</v>
      </c>
      <c r="L14">
        <f t="shared" si="0"/>
        <v>1</v>
      </c>
      <c r="M14">
        <f t="shared" si="1"/>
        <v>477.2</v>
      </c>
      <c r="N14" t="str">
        <f t="shared" si="2"/>
        <v>943L1106</v>
      </c>
      <c r="O14" t="str">
        <f t="shared" si="3"/>
        <v>501110519780-1</v>
      </c>
      <c r="R14" t="s">
        <v>26</v>
      </c>
      <c r="S14">
        <v>1</v>
      </c>
      <c r="T14">
        <v>81</v>
      </c>
      <c r="U14">
        <v>11000382</v>
      </c>
      <c r="V14">
        <v>253569993627</v>
      </c>
    </row>
    <row r="15" spans="1:22" x14ac:dyDescent="0.3">
      <c r="A15" t="s">
        <v>22</v>
      </c>
      <c r="B15" t="s">
        <v>33</v>
      </c>
      <c r="C15">
        <v>1</v>
      </c>
      <c r="D15">
        <v>67.91</v>
      </c>
      <c r="E15">
        <v>67.91</v>
      </c>
      <c r="F15" t="s">
        <v>34</v>
      </c>
      <c r="G15" t="s">
        <v>35</v>
      </c>
      <c r="K15" t="s">
        <v>39</v>
      </c>
      <c r="L15">
        <f t="shared" si="0"/>
        <v>10</v>
      </c>
      <c r="M15">
        <f t="shared" si="1"/>
        <v>8.1300000000000008</v>
      </c>
      <c r="N15" t="str">
        <f t="shared" si="2"/>
        <v>943X1085</v>
      </c>
      <c r="O15">
        <f t="shared" si="3"/>
        <v>501120000000</v>
      </c>
      <c r="R15" t="s">
        <v>39</v>
      </c>
      <c r="S15">
        <v>10</v>
      </c>
      <c r="T15">
        <v>127</v>
      </c>
      <c r="U15">
        <v>11000307</v>
      </c>
      <c r="V15">
        <v>488714211366</v>
      </c>
    </row>
    <row r="16" spans="1:22" x14ac:dyDescent="0.3">
      <c r="A16" t="s">
        <v>19</v>
      </c>
      <c r="B16" t="s">
        <v>51</v>
      </c>
      <c r="C16">
        <v>1</v>
      </c>
      <c r="D16">
        <v>132.96</v>
      </c>
      <c r="E16">
        <v>132.96</v>
      </c>
      <c r="F16" t="s">
        <v>52</v>
      </c>
      <c r="G16" s="2">
        <v>501150000000</v>
      </c>
      <c r="K16" t="s">
        <v>43</v>
      </c>
      <c r="L16">
        <f t="shared" si="0"/>
        <v>1</v>
      </c>
      <c r="M16">
        <f t="shared" si="1"/>
        <v>193.97</v>
      </c>
      <c r="N16">
        <f t="shared" si="2"/>
        <v>11007070</v>
      </c>
      <c r="O16">
        <f t="shared" si="3"/>
        <v>501130000000</v>
      </c>
      <c r="R16" t="s">
        <v>43</v>
      </c>
      <c r="S16">
        <v>1</v>
      </c>
      <c r="T16">
        <v>51</v>
      </c>
      <c r="U16">
        <v>11000433</v>
      </c>
      <c r="V16">
        <v>101852761344</v>
      </c>
    </row>
    <row r="17" spans="1:22" x14ac:dyDescent="0.3">
      <c r="A17" t="s">
        <v>29</v>
      </c>
      <c r="B17" t="s">
        <v>32</v>
      </c>
      <c r="C17">
        <v>10</v>
      </c>
      <c r="D17">
        <v>6.61</v>
      </c>
      <c r="E17">
        <v>66.099999999999994</v>
      </c>
      <c r="F17" s="2">
        <v>501121000000</v>
      </c>
      <c r="G17" s="2">
        <v>501121000000</v>
      </c>
      <c r="K17" t="s">
        <v>55</v>
      </c>
      <c r="L17">
        <f t="shared" si="0"/>
        <v>1</v>
      </c>
      <c r="M17">
        <f t="shared" si="1"/>
        <v>27.44</v>
      </c>
      <c r="N17" t="str">
        <f t="shared" si="2"/>
        <v>943U1786</v>
      </c>
      <c r="O17" t="str">
        <f t="shared" si="3"/>
        <v>501160085000-1</v>
      </c>
      <c r="R17" t="s">
        <v>55</v>
      </c>
      <c r="S17">
        <v>1</v>
      </c>
      <c r="T17">
        <v>271</v>
      </c>
      <c r="U17">
        <v>11000478</v>
      </c>
      <c r="V17">
        <v>438889327432</v>
      </c>
    </row>
    <row r="18" spans="1:22" x14ac:dyDescent="0.3">
      <c r="A18" t="s">
        <v>36</v>
      </c>
      <c r="B18" t="s">
        <v>37</v>
      </c>
      <c r="C18">
        <v>5</v>
      </c>
      <c r="D18">
        <v>16.54</v>
      </c>
      <c r="E18">
        <v>82.7</v>
      </c>
      <c r="F18" t="s">
        <v>38</v>
      </c>
      <c r="G18" s="2">
        <v>501121000000</v>
      </c>
      <c r="K18" t="s">
        <v>58</v>
      </c>
      <c r="L18">
        <f t="shared" si="0"/>
        <v>1</v>
      </c>
      <c r="M18">
        <f t="shared" si="1"/>
        <v>354.18</v>
      </c>
      <c r="N18" t="str">
        <f t="shared" si="2"/>
        <v>943G0229</v>
      </c>
      <c r="O18">
        <f t="shared" si="3"/>
        <v>501150000000</v>
      </c>
      <c r="R18" t="s">
        <v>58</v>
      </c>
      <c r="S18">
        <v>1</v>
      </c>
      <c r="T18">
        <v>107</v>
      </c>
      <c r="U18">
        <v>11000217</v>
      </c>
      <c r="V18">
        <v>369830830390</v>
      </c>
    </row>
    <row r="19" spans="1:22" x14ac:dyDescent="0.3">
      <c r="A19" t="s">
        <v>22</v>
      </c>
      <c r="B19" t="s">
        <v>33</v>
      </c>
      <c r="C19">
        <v>1</v>
      </c>
      <c r="D19">
        <v>67.91</v>
      </c>
      <c r="E19">
        <v>67.91</v>
      </c>
      <c r="F19" t="s">
        <v>34</v>
      </c>
      <c r="G19" t="s">
        <v>35</v>
      </c>
      <c r="K19" t="s">
        <v>60</v>
      </c>
      <c r="L19">
        <f t="shared" si="0"/>
        <v>1</v>
      </c>
      <c r="M19">
        <f t="shared" si="1"/>
        <v>0.01</v>
      </c>
      <c r="N19">
        <f t="shared" si="2"/>
        <v>11004613</v>
      </c>
      <c r="O19">
        <f t="shared" si="3"/>
        <v>501140000000</v>
      </c>
      <c r="R19" t="s">
        <v>60</v>
      </c>
      <c r="S19">
        <v>1</v>
      </c>
      <c r="T19">
        <v>151</v>
      </c>
      <c r="U19">
        <v>11000217</v>
      </c>
      <c r="V19">
        <v>248226542077</v>
      </c>
    </row>
    <row r="20" spans="1:22" x14ac:dyDescent="0.3">
      <c r="A20" t="s">
        <v>22</v>
      </c>
      <c r="B20" t="s">
        <v>33</v>
      </c>
      <c r="C20">
        <v>1</v>
      </c>
      <c r="D20">
        <v>318.69</v>
      </c>
      <c r="E20">
        <v>318.69</v>
      </c>
      <c r="F20" t="s">
        <v>34</v>
      </c>
      <c r="G20" s="2">
        <v>501140000000</v>
      </c>
      <c r="K20" t="s">
        <v>61</v>
      </c>
      <c r="L20">
        <f t="shared" si="0"/>
        <v>10</v>
      </c>
      <c r="M20">
        <f t="shared" si="1"/>
        <v>8.8000000000000007</v>
      </c>
      <c r="N20">
        <f t="shared" si="2"/>
        <v>11130302</v>
      </c>
      <c r="O20">
        <f t="shared" si="3"/>
        <v>501121000000</v>
      </c>
      <c r="R20" t="s">
        <v>61</v>
      </c>
      <c r="S20">
        <v>10</v>
      </c>
      <c r="T20">
        <v>220</v>
      </c>
      <c r="U20">
        <v>11000256</v>
      </c>
      <c r="V20">
        <v>385416301012</v>
      </c>
    </row>
    <row r="21" spans="1:22" x14ac:dyDescent="0.3">
      <c r="A21" t="s">
        <v>22</v>
      </c>
      <c r="B21" t="s">
        <v>53</v>
      </c>
      <c r="C21">
        <v>1</v>
      </c>
      <c r="D21">
        <v>296.37</v>
      </c>
      <c r="E21">
        <v>296.37</v>
      </c>
      <c r="F21">
        <v>11005753</v>
      </c>
      <c r="G21" s="2">
        <v>501140000000</v>
      </c>
      <c r="K21" t="s">
        <v>41</v>
      </c>
      <c r="L21">
        <f t="shared" si="0"/>
        <v>10</v>
      </c>
      <c r="M21">
        <f t="shared" si="1"/>
        <v>6.61</v>
      </c>
      <c r="N21">
        <f t="shared" si="2"/>
        <v>11147007</v>
      </c>
      <c r="O21">
        <f t="shared" si="3"/>
        <v>501121000000</v>
      </c>
      <c r="R21" t="s">
        <v>41</v>
      </c>
      <c r="S21">
        <v>10</v>
      </c>
      <c r="T21">
        <v>208</v>
      </c>
      <c r="U21">
        <v>11000364</v>
      </c>
      <c r="V21">
        <v>437465821622</v>
      </c>
    </row>
    <row r="22" spans="1:22" x14ac:dyDescent="0.3">
      <c r="A22" t="s">
        <v>25</v>
      </c>
      <c r="B22" t="s">
        <v>26</v>
      </c>
      <c r="C22">
        <v>1</v>
      </c>
      <c r="D22">
        <v>477.2</v>
      </c>
      <c r="E22">
        <v>477.2</v>
      </c>
      <c r="F22" t="s">
        <v>27</v>
      </c>
      <c r="G22" t="s">
        <v>28</v>
      </c>
      <c r="K22" t="s">
        <v>63</v>
      </c>
      <c r="L22">
        <f t="shared" si="0"/>
        <v>1</v>
      </c>
      <c r="M22">
        <f t="shared" si="1"/>
        <v>0.01</v>
      </c>
      <c r="N22" t="str">
        <f t="shared" si="2"/>
        <v>943B2908</v>
      </c>
      <c r="O22" t="str">
        <f t="shared" si="3"/>
        <v>501130127000-2</v>
      </c>
      <c r="R22" t="s">
        <v>63</v>
      </c>
      <c r="S22">
        <v>1</v>
      </c>
      <c r="T22">
        <v>180</v>
      </c>
      <c r="U22">
        <v>11000309</v>
      </c>
      <c r="V22">
        <v>288924799473</v>
      </c>
    </row>
    <row r="23" spans="1:22" x14ac:dyDescent="0.3">
      <c r="A23" t="s">
        <v>19</v>
      </c>
      <c r="B23" t="s">
        <v>20</v>
      </c>
      <c r="C23">
        <v>1</v>
      </c>
      <c r="D23">
        <v>12.74</v>
      </c>
      <c r="E23">
        <v>12.74</v>
      </c>
      <c r="F23">
        <v>11091102</v>
      </c>
      <c r="G23" t="s">
        <v>50</v>
      </c>
      <c r="K23" t="s">
        <v>66</v>
      </c>
      <c r="L23">
        <f t="shared" si="0"/>
        <v>10</v>
      </c>
      <c r="M23">
        <f t="shared" si="1"/>
        <v>0.01</v>
      </c>
      <c r="N23" t="str">
        <f t="shared" si="2"/>
        <v>943X1105</v>
      </c>
      <c r="O23" t="str">
        <f t="shared" si="3"/>
        <v>501120103000-2</v>
      </c>
      <c r="R23" t="s">
        <v>66</v>
      </c>
      <c r="S23">
        <v>10</v>
      </c>
      <c r="T23">
        <v>87</v>
      </c>
      <c r="U23">
        <v>11000442</v>
      </c>
      <c r="V23">
        <v>356319291959</v>
      </c>
    </row>
    <row r="24" spans="1:22" x14ac:dyDescent="0.3">
      <c r="A24" t="s">
        <v>29</v>
      </c>
      <c r="B24" t="s">
        <v>39</v>
      </c>
      <c r="C24">
        <v>10</v>
      </c>
      <c r="D24">
        <v>8.1300000000000008</v>
      </c>
      <c r="E24">
        <v>81.3</v>
      </c>
      <c r="F24" t="s">
        <v>40</v>
      </c>
      <c r="G24" s="2">
        <v>501120000000</v>
      </c>
      <c r="K24" t="s">
        <v>70</v>
      </c>
      <c r="L24">
        <f t="shared" si="0"/>
        <v>1</v>
      </c>
      <c r="M24">
        <f t="shared" si="1"/>
        <v>0.01</v>
      </c>
      <c r="N24">
        <f t="shared" si="2"/>
        <v>501130000000</v>
      </c>
      <c r="O24" t="str">
        <f t="shared" si="3"/>
        <v>501130250000-2</v>
      </c>
      <c r="R24" t="s">
        <v>70</v>
      </c>
      <c r="S24">
        <v>1</v>
      </c>
      <c r="T24">
        <v>149</v>
      </c>
      <c r="U24">
        <v>11000335</v>
      </c>
      <c r="V24">
        <v>55095376362</v>
      </c>
    </row>
    <row r="25" spans="1:22" x14ac:dyDescent="0.3">
      <c r="A25" t="s">
        <v>29</v>
      </c>
      <c r="B25" t="s">
        <v>32</v>
      </c>
      <c r="C25">
        <v>10</v>
      </c>
      <c r="D25">
        <v>6.61</v>
      </c>
      <c r="E25">
        <v>66.099999999999994</v>
      </c>
      <c r="F25" s="2">
        <v>501121000000</v>
      </c>
      <c r="G25" s="2">
        <v>501121000000</v>
      </c>
      <c r="K25" t="s">
        <v>72</v>
      </c>
      <c r="L25">
        <f t="shared" si="0"/>
        <v>10</v>
      </c>
      <c r="M25">
        <f t="shared" si="1"/>
        <v>10.44</v>
      </c>
      <c r="N25" t="str">
        <f t="shared" si="2"/>
        <v>943X9992</v>
      </c>
      <c r="O25">
        <f t="shared" si="3"/>
        <v>501120000000</v>
      </c>
      <c r="R25" t="s">
        <v>72</v>
      </c>
      <c r="S25">
        <v>10</v>
      </c>
      <c r="T25">
        <v>78</v>
      </c>
      <c r="U25">
        <v>11000351</v>
      </c>
      <c r="V25">
        <v>134264669804</v>
      </c>
    </row>
    <row r="26" spans="1:22" x14ac:dyDescent="0.3">
      <c r="A26" t="s">
        <v>29</v>
      </c>
      <c r="B26" t="s">
        <v>30</v>
      </c>
      <c r="C26">
        <v>10</v>
      </c>
      <c r="D26">
        <v>7.92</v>
      </c>
      <c r="E26">
        <v>79.2</v>
      </c>
      <c r="F26" t="s">
        <v>31</v>
      </c>
      <c r="G26" s="2">
        <v>501121000000</v>
      </c>
      <c r="K26" t="s">
        <v>76</v>
      </c>
      <c r="L26">
        <f t="shared" si="0"/>
        <v>1</v>
      </c>
      <c r="M26">
        <f t="shared" si="1"/>
        <v>116.14</v>
      </c>
      <c r="N26">
        <f t="shared" si="2"/>
        <v>11005357</v>
      </c>
      <c r="O26">
        <f t="shared" si="3"/>
        <v>501130000000</v>
      </c>
      <c r="R26" t="s">
        <v>76</v>
      </c>
      <c r="S26">
        <v>1</v>
      </c>
      <c r="T26">
        <v>44</v>
      </c>
      <c r="U26">
        <v>11000452</v>
      </c>
      <c r="V26">
        <v>202953108877</v>
      </c>
    </row>
    <row r="27" spans="1:22" x14ac:dyDescent="0.3">
      <c r="A27" t="s">
        <v>22</v>
      </c>
      <c r="B27" t="s">
        <v>23</v>
      </c>
      <c r="C27">
        <v>1</v>
      </c>
      <c r="D27">
        <v>289.63</v>
      </c>
      <c r="E27">
        <v>289.63</v>
      </c>
      <c r="F27">
        <v>11004942</v>
      </c>
      <c r="G27" s="2">
        <v>501130000000</v>
      </c>
      <c r="K27" t="s">
        <v>77</v>
      </c>
      <c r="L27">
        <f t="shared" si="0"/>
        <v>10</v>
      </c>
      <c r="M27">
        <f t="shared" si="1"/>
        <v>9.99</v>
      </c>
      <c r="N27">
        <f t="shared" si="2"/>
        <v>11100679</v>
      </c>
      <c r="O27">
        <f t="shared" si="3"/>
        <v>501120000000</v>
      </c>
      <c r="R27" t="s">
        <v>77</v>
      </c>
      <c r="S27">
        <v>10</v>
      </c>
      <c r="T27">
        <v>158</v>
      </c>
      <c r="U27">
        <v>11000171</v>
      </c>
      <c r="V27">
        <v>137061556926</v>
      </c>
    </row>
    <row r="28" spans="1:22" x14ac:dyDescent="0.3">
      <c r="A28" t="s">
        <v>19</v>
      </c>
      <c r="B28" t="s">
        <v>20</v>
      </c>
      <c r="C28">
        <v>1</v>
      </c>
      <c r="D28">
        <v>12.74</v>
      </c>
      <c r="E28">
        <v>12.74</v>
      </c>
      <c r="F28">
        <v>11091102</v>
      </c>
      <c r="G28" t="s">
        <v>50</v>
      </c>
      <c r="K28" t="s">
        <v>78</v>
      </c>
      <c r="L28">
        <f t="shared" si="0"/>
        <v>10</v>
      </c>
      <c r="M28">
        <f t="shared" si="1"/>
        <v>8.27</v>
      </c>
      <c r="N28">
        <f t="shared" si="2"/>
        <v>11100680</v>
      </c>
      <c r="O28">
        <f t="shared" si="3"/>
        <v>501120000000</v>
      </c>
      <c r="R28" t="s">
        <v>78</v>
      </c>
      <c r="S28">
        <v>10</v>
      </c>
      <c r="T28">
        <v>78</v>
      </c>
      <c r="U28">
        <v>11000137</v>
      </c>
      <c r="V28">
        <v>66309439958</v>
      </c>
    </row>
    <row r="29" spans="1:22" x14ac:dyDescent="0.3">
      <c r="A29" t="s">
        <v>42</v>
      </c>
      <c r="B29" t="s">
        <v>43</v>
      </c>
      <c r="C29">
        <v>1</v>
      </c>
      <c r="D29">
        <v>193.97</v>
      </c>
      <c r="E29">
        <v>193.97</v>
      </c>
      <c r="F29">
        <v>11007070</v>
      </c>
      <c r="G29" s="2">
        <v>501130000000</v>
      </c>
      <c r="K29" t="s">
        <v>80</v>
      </c>
      <c r="L29">
        <f t="shared" si="0"/>
        <v>1</v>
      </c>
      <c r="M29">
        <f t="shared" si="1"/>
        <v>0.01</v>
      </c>
      <c r="N29">
        <f t="shared" si="2"/>
        <v>11004594</v>
      </c>
      <c r="O29">
        <f t="shared" si="3"/>
        <v>501160000000</v>
      </c>
      <c r="R29" t="s">
        <v>80</v>
      </c>
      <c r="S29">
        <v>1</v>
      </c>
      <c r="T29">
        <v>281</v>
      </c>
      <c r="U29">
        <v>11000481</v>
      </c>
      <c r="V29">
        <v>408378663366</v>
      </c>
    </row>
    <row r="30" spans="1:22" x14ac:dyDescent="0.3">
      <c r="A30" t="s">
        <v>54</v>
      </c>
      <c r="B30" t="s">
        <v>55</v>
      </c>
      <c r="C30">
        <v>1</v>
      </c>
      <c r="D30">
        <v>27.44</v>
      </c>
      <c r="E30">
        <v>27.44</v>
      </c>
      <c r="F30" t="s">
        <v>56</v>
      </c>
      <c r="G30" t="s">
        <v>57</v>
      </c>
      <c r="K30" t="s">
        <v>81</v>
      </c>
      <c r="L30">
        <f t="shared" si="0"/>
        <v>1</v>
      </c>
      <c r="M30">
        <f t="shared" si="1"/>
        <v>39.36</v>
      </c>
      <c r="N30" t="str">
        <f t="shared" si="2"/>
        <v>WM384-KE0</v>
      </c>
      <c r="O30">
        <f t="shared" si="3"/>
        <v>501130000000</v>
      </c>
      <c r="R30" t="s">
        <v>81</v>
      </c>
      <c r="S30">
        <v>1</v>
      </c>
      <c r="T30">
        <v>188</v>
      </c>
      <c r="U30">
        <v>11000374</v>
      </c>
      <c r="V30">
        <v>64578011490</v>
      </c>
    </row>
    <row r="31" spans="1:22" x14ac:dyDescent="0.3">
      <c r="A31" t="s">
        <v>22</v>
      </c>
      <c r="B31" t="s">
        <v>53</v>
      </c>
      <c r="C31">
        <v>1</v>
      </c>
      <c r="D31">
        <v>296.37</v>
      </c>
      <c r="E31">
        <v>296.37</v>
      </c>
      <c r="F31">
        <v>11005753</v>
      </c>
      <c r="G31" s="2">
        <v>501140000000</v>
      </c>
      <c r="K31" t="s">
        <v>83</v>
      </c>
      <c r="L31">
        <f t="shared" si="0"/>
        <v>1</v>
      </c>
      <c r="M31">
        <f t="shared" si="1"/>
        <v>371.57</v>
      </c>
      <c r="N31" t="str">
        <f t="shared" si="2"/>
        <v>WM383-WE1</v>
      </c>
      <c r="O31">
        <f t="shared" si="3"/>
        <v>501140000000</v>
      </c>
      <c r="R31" t="s">
        <v>83</v>
      </c>
      <c r="S31">
        <v>1</v>
      </c>
      <c r="T31">
        <v>269</v>
      </c>
      <c r="U31">
        <v>11000407</v>
      </c>
      <c r="V31">
        <v>375370388922</v>
      </c>
    </row>
    <row r="32" spans="1:22" x14ac:dyDescent="0.3">
      <c r="A32" t="s">
        <v>19</v>
      </c>
      <c r="B32" t="s">
        <v>58</v>
      </c>
      <c r="C32">
        <v>1</v>
      </c>
      <c r="D32">
        <v>354.18</v>
      </c>
      <c r="E32">
        <v>354.18</v>
      </c>
      <c r="F32" t="s">
        <v>59</v>
      </c>
      <c r="G32" s="2">
        <v>501150000000</v>
      </c>
      <c r="K32" t="s">
        <v>87</v>
      </c>
      <c r="L32">
        <f t="shared" si="0"/>
        <v>1</v>
      </c>
      <c r="M32">
        <f t="shared" si="1"/>
        <v>0.01</v>
      </c>
      <c r="N32" t="str">
        <f t="shared" si="2"/>
        <v>GW59-OS0</v>
      </c>
      <c r="O32">
        <f t="shared" si="3"/>
        <v>501150000000</v>
      </c>
      <c r="R32" t="s">
        <v>87</v>
      </c>
      <c r="S32">
        <v>1</v>
      </c>
      <c r="T32">
        <v>41</v>
      </c>
      <c r="U32">
        <v>11000469</v>
      </c>
      <c r="V32">
        <v>398696407933</v>
      </c>
    </row>
    <row r="33" spans="1:22" x14ac:dyDescent="0.3">
      <c r="A33" t="s">
        <v>36</v>
      </c>
      <c r="B33" t="s">
        <v>37</v>
      </c>
      <c r="C33">
        <v>5</v>
      </c>
      <c r="D33">
        <v>16.54</v>
      </c>
      <c r="E33">
        <v>82.7</v>
      </c>
      <c r="F33" t="s">
        <v>38</v>
      </c>
      <c r="G33" s="2">
        <v>501121000000</v>
      </c>
      <c r="K33" t="s">
        <v>89</v>
      </c>
      <c r="L33">
        <f t="shared" si="0"/>
        <v>1</v>
      </c>
      <c r="M33">
        <f t="shared" si="1"/>
        <v>96.47</v>
      </c>
      <c r="N33" t="str">
        <f t="shared" si="2"/>
        <v>FP55-KE0</v>
      </c>
      <c r="O33">
        <f t="shared" si="3"/>
        <v>501160000000</v>
      </c>
      <c r="R33" t="s">
        <v>89</v>
      </c>
      <c r="S33">
        <v>1</v>
      </c>
      <c r="T33">
        <v>56</v>
      </c>
      <c r="U33">
        <v>11000234</v>
      </c>
      <c r="V33">
        <v>443385592730</v>
      </c>
    </row>
    <row r="34" spans="1:22" x14ac:dyDescent="0.3">
      <c r="A34" t="s">
        <v>22</v>
      </c>
      <c r="B34" t="s">
        <v>60</v>
      </c>
      <c r="C34">
        <v>1</v>
      </c>
      <c r="D34">
        <v>0.01</v>
      </c>
      <c r="E34">
        <v>0.01</v>
      </c>
      <c r="F34">
        <v>11004613</v>
      </c>
      <c r="G34" s="2">
        <v>501140000000</v>
      </c>
      <c r="K34" t="s">
        <v>91</v>
      </c>
      <c r="L34">
        <f t="shared" si="0"/>
        <v>1</v>
      </c>
      <c r="M34">
        <f t="shared" si="1"/>
        <v>23.35</v>
      </c>
      <c r="N34" t="str">
        <f t="shared" si="2"/>
        <v>943G0175</v>
      </c>
      <c r="O34">
        <f t="shared" si="3"/>
        <v>501150000000</v>
      </c>
      <c r="R34" t="s">
        <v>91</v>
      </c>
      <c r="S34">
        <v>1</v>
      </c>
      <c r="T34">
        <v>180</v>
      </c>
      <c r="U34">
        <v>11000322</v>
      </c>
      <c r="V34">
        <v>279589783878</v>
      </c>
    </row>
    <row r="35" spans="1:22" x14ac:dyDescent="0.3">
      <c r="A35" t="s">
        <v>42</v>
      </c>
      <c r="B35" t="s">
        <v>44</v>
      </c>
      <c r="C35">
        <v>1</v>
      </c>
      <c r="D35">
        <v>318.64999999999998</v>
      </c>
      <c r="E35">
        <v>318.64999999999998</v>
      </c>
      <c r="F35">
        <v>11004601</v>
      </c>
      <c r="G35" s="2">
        <v>501130000000</v>
      </c>
    </row>
    <row r="36" spans="1:22" x14ac:dyDescent="0.3">
      <c r="A36" t="s">
        <v>19</v>
      </c>
      <c r="B36" t="s">
        <v>46</v>
      </c>
      <c r="C36">
        <v>1</v>
      </c>
      <c r="D36">
        <v>28.47</v>
      </c>
      <c r="E36">
        <v>28.47</v>
      </c>
      <c r="F36">
        <v>11007545</v>
      </c>
      <c r="G36" s="2">
        <v>501150000000</v>
      </c>
    </row>
    <row r="37" spans="1:22" x14ac:dyDescent="0.3">
      <c r="A37" t="s">
        <v>29</v>
      </c>
      <c r="B37" t="s">
        <v>61</v>
      </c>
      <c r="C37">
        <v>10</v>
      </c>
      <c r="D37">
        <v>8.8000000000000007</v>
      </c>
      <c r="E37">
        <v>88</v>
      </c>
      <c r="F37">
        <v>11130302</v>
      </c>
      <c r="G37" s="2">
        <v>501121000000</v>
      </c>
    </row>
    <row r="38" spans="1:22" x14ac:dyDescent="0.3">
      <c r="A38" t="s">
        <v>29</v>
      </c>
      <c r="B38" t="s">
        <v>30</v>
      </c>
      <c r="C38">
        <v>10</v>
      </c>
      <c r="D38">
        <v>7.92</v>
      </c>
      <c r="E38">
        <v>79.2</v>
      </c>
      <c r="F38" t="s">
        <v>31</v>
      </c>
      <c r="G38" s="2">
        <v>501121000000</v>
      </c>
    </row>
    <row r="39" spans="1:22" x14ac:dyDescent="0.3">
      <c r="A39" t="s">
        <v>29</v>
      </c>
      <c r="B39" t="s">
        <v>30</v>
      </c>
      <c r="C39">
        <v>10</v>
      </c>
      <c r="D39">
        <v>7.92</v>
      </c>
      <c r="E39">
        <v>79.2</v>
      </c>
      <c r="F39" t="s">
        <v>31</v>
      </c>
      <c r="G39" s="2">
        <v>501121000000</v>
      </c>
    </row>
    <row r="40" spans="1:22" x14ac:dyDescent="0.3">
      <c r="A40" t="s">
        <v>29</v>
      </c>
      <c r="B40" t="s">
        <v>41</v>
      </c>
      <c r="C40">
        <v>10</v>
      </c>
      <c r="D40">
        <v>6.61</v>
      </c>
      <c r="E40">
        <v>66.099999999999994</v>
      </c>
      <c r="F40">
        <v>11147007</v>
      </c>
      <c r="G40" s="2">
        <v>501121000000</v>
      </c>
    </row>
    <row r="41" spans="1:22" x14ac:dyDescent="0.3">
      <c r="A41" t="s">
        <v>29</v>
      </c>
      <c r="B41" t="s">
        <v>32</v>
      </c>
      <c r="C41">
        <v>10</v>
      </c>
      <c r="D41">
        <v>6.61</v>
      </c>
      <c r="E41">
        <v>66.099999999999994</v>
      </c>
      <c r="F41" s="2">
        <v>501121000000</v>
      </c>
      <c r="G41" s="2">
        <v>501121000000</v>
      </c>
    </row>
    <row r="42" spans="1:22" x14ac:dyDescent="0.3">
      <c r="A42" t="s">
        <v>62</v>
      </c>
      <c r="B42" t="s">
        <v>63</v>
      </c>
      <c r="C42">
        <v>1</v>
      </c>
      <c r="D42">
        <v>0.01</v>
      </c>
      <c r="E42">
        <v>0.01</v>
      </c>
      <c r="F42" t="s">
        <v>64</v>
      </c>
      <c r="G42" t="s">
        <v>65</v>
      </c>
    </row>
    <row r="43" spans="1:22" x14ac:dyDescent="0.3">
      <c r="A43" t="s">
        <v>22</v>
      </c>
      <c r="B43" t="s">
        <v>33</v>
      </c>
      <c r="C43">
        <v>1</v>
      </c>
      <c r="D43">
        <v>67.91</v>
      </c>
      <c r="E43">
        <v>67.91</v>
      </c>
      <c r="F43" t="s">
        <v>34</v>
      </c>
      <c r="G43" t="s">
        <v>35</v>
      </c>
    </row>
    <row r="44" spans="1:22" x14ac:dyDescent="0.3">
      <c r="A44" t="s">
        <v>22</v>
      </c>
      <c r="B44" t="s">
        <v>33</v>
      </c>
      <c r="C44">
        <v>1</v>
      </c>
      <c r="D44">
        <v>67.91</v>
      </c>
      <c r="E44">
        <v>67.91</v>
      </c>
      <c r="F44" t="s">
        <v>34</v>
      </c>
      <c r="G44" t="s">
        <v>35</v>
      </c>
    </row>
    <row r="45" spans="1:22" x14ac:dyDescent="0.3">
      <c r="A45" t="s">
        <v>22</v>
      </c>
      <c r="B45" t="s">
        <v>33</v>
      </c>
      <c r="C45">
        <v>1</v>
      </c>
      <c r="D45">
        <v>67.91</v>
      </c>
      <c r="E45">
        <v>67.91</v>
      </c>
      <c r="F45" t="s">
        <v>34</v>
      </c>
      <c r="G45" t="s">
        <v>35</v>
      </c>
    </row>
    <row r="46" spans="1:22" x14ac:dyDescent="0.3">
      <c r="A46" t="s">
        <v>22</v>
      </c>
      <c r="B46" t="s">
        <v>33</v>
      </c>
      <c r="C46">
        <v>1</v>
      </c>
      <c r="D46">
        <v>67.91</v>
      </c>
      <c r="E46">
        <v>67.91</v>
      </c>
      <c r="F46" t="s">
        <v>34</v>
      </c>
      <c r="G46" t="s">
        <v>35</v>
      </c>
    </row>
    <row r="47" spans="1:22" x14ac:dyDescent="0.3">
      <c r="A47" t="s">
        <v>29</v>
      </c>
      <c r="B47" t="s">
        <v>66</v>
      </c>
      <c r="C47">
        <v>10</v>
      </c>
      <c r="D47">
        <v>0.01</v>
      </c>
      <c r="E47">
        <v>0.1</v>
      </c>
      <c r="F47" t="s">
        <v>67</v>
      </c>
      <c r="G47" t="s">
        <v>68</v>
      </c>
    </row>
    <row r="48" spans="1:22" x14ac:dyDescent="0.3">
      <c r="A48" t="s">
        <v>29</v>
      </c>
      <c r="B48" t="s">
        <v>32</v>
      </c>
      <c r="C48">
        <v>10</v>
      </c>
      <c r="D48">
        <v>6.61</v>
      </c>
      <c r="E48">
        <v>66.099999999999994</v>
      </c>
      <c r="F48" s="2">
        <v>501121000000</v>
      </c>
      <c r="G48" s="2">
        <v>501121000000</v>
      </c>
    </row>
    <row r="49" spans="1:7" x14ac:dyDescent="0.3">
      <c r="A49" t="s">
        <v>22</v>
      </c>
      <c r="B49" t="s">
        <v>23</v>
      </c>
      <c r="C49">
        <v>1</v>
      </c>
      <c r="D49">
        <v>50.2</v>
      </c>
      <c r="E49">
        <v>50.2</v>
      </c>
      <c r="F49">
        <v>11004942</v>
      </c>
      <c r="G49" t="s">
        <v>24</v>
      </c>
    </row>
    <row r="50" spans="1:7" x14ac:dyDescent="0.3">
      <c r="A50" t="s">
        <v>19</v>
      </c>
      <c r="B50" t="s">
        <v>20</v>
      </c>
      <c r="C50">
        <v>1</v>
      </c>
      <c r="D50">
        <v>12.74</v>
      </c>
      <c r="E50">
        <v>12.74</v>
      </c>
      <c r="F50">
        <v>11091102</v>
      </c>
      <c r="G50" t="s">
        <v>50</v>
      </c>
    </row>
    <row r="51" spans="1:7" x14ac:dyDescent="0.3">
      <c r="A51" t="s">
        <v>42</v>
      </c>
      <c r="B51" t="s">
        <v>43</v>
      </c>
      <c r="C51">
        <v>1</v>
      </c>
      <c r="D51">
        <v>193.97</v>
      </c>
      <c r="E51">
        <v>193.97</v>
      </c>
      <c r="F51">
        <v>11007070</v>
      </c>
      <c r="G51" s="2">
        <v>501130000000</v>
      </c>
    </row>
    <row r="52" spans="1:7" x14ac:dyDescent="0.3">
      <c r="A52" t="s">
        <v>29</v>
      </c>
      <c r="B52" t="s">
        <v>39</v>
      </c>
      <c r="C52">
        <v>10</v>
      </c>
      <c r="D52">
        <v>8.1300000000000008</v>
      </c>
      <c r="E52">
        <v>81.3</v>
      </c>
      <c r="F52" t="s">
        <v>40</v>
      </c>
      <c r="G52" s="2">
        <v>501120000000</v>
      </c>
    </row>
    <row r="53" spans="1:7" x14ac:dyDescent="0.3">
      <c r="A53" t="s">
        <v>69</v>
      </c>
      <c r="B53" t="s">
        <v>70</v>
      </c>
      <c r="C53">
        <v>1</v>
      </c>
      <c r="D53">
        <v>0.01</v>
      </c>
      <c r="E53">
        <v>0.01</v>
      </c>
      <c r="F53" s="2">
        <v>501130000000</v>
      </c>
      <c r="G53" t="s">
        <v>71</v>
      </c>
    </row>
    <row r="54" spans="1:7" x14ac:dyDescent="0.3">
      <c r="A54" t="s">
        <v>47</v>
      </c>
      <c r="B54" t="s">
        <v>72</v>
      </c>
      <c r="C54">
        <v>10</v>
      </c>
      <c r="D54">
        <v>10.44</v>
      </c>
      <c r="E54">
        <v>104.4</v>
      </c>
      <c r="F54" t="s">
        <v>73</v>
      </c>
      <c r="G54" s="2">
        <v>501120000000</v>
      </c>
    </row>
    <row r="55" spans="1:7" x14ac:dyDescent="0.3">
      <c r="A55" t="s">
        <v>47</v>
      </c>
      <c r="B55" t="s">
        <v>48</v>
      </c>
      <c r="C55">
        <v>10</v>
      </c>
      <c r="D55">
        <v>10.44</v>
      </c>
      <c r="E55">
        <v>104.4</v>
      </c>
      <c r="F55" t="s">
        <v>49</v>
      </c>
      <c r="G55" s="2">
        <v>501120000000</v>
      </c>
    </row>
    <row r="56" spans="1:7" x14ac:dyDescent="0.3">
      <c r="A56" t="s">
        <v>22</v>
      </c>
      <c r="B56" t="s">
        <v>23</v>
      </c>
      <c r="C56">
        <v>1</v>
      </c>
      <c r="D56">
        <v>50.2</v>
      </c>
      <c r="E56">
        <v>50.2</v>
      </c>
      <c r="F56">
        <v>11004942</v>
      </c>
      <c r="G56" t="s">
        <v>24</v>
      </c>
    </row>
    <row r="57" spans="1:7" x14ac:dyDescent="0.3">
      <c r="A57" t="s">
        <v>25</v>
      </c>
      <c r="B57" t="s">
        <v>26</v>
      </c>
      <c r="C57">
        <v>1</v>
      </c>
      <c r="D57">
        <v>655.24</v>
      </c>
      <c r="E57">
        <v>655.24</v>
      </c>
      <c r="F57" t="s">
        <v>27</v>
      </c>
      <c r="G57" s="2">
        <v>501111000000</v>
      </c>
    </row>
    <row r="58" spans="1:7" x14ac:dyDescent="0.3">
      <c r="A58" t="s">
        <v>25</v>
      </c>
      <c r="B58" t="s">
        <v>26</v>
      </c>
      <c r="C58">
        <v>1</v>
      </c>
      <c r="D58">
        <v>655.24</v>
      </c>
      <c r="E58">
        <v>655.24</v>
      </c>
      <c r="F58" t="s">
        <v>27</v>
      </c>
      <c r="G58" s="2">
        <v>501111000000</v>
      </c>
    </row>
    <row r="59" spans="1:7" x14ac:dyDescent="0.3">
      <c r="A59" t="s">
        <v>29</v>
      </c>
      <c r="B59" t="s">
        <v>32</v>
      </c>
      <c r="C59">
        <v>10</v>
      </c>
      <c r="D59">
        <v>6.61</v>
      </c>
      <c r="E59">
        <v>66.099999999999994</v>
      </c>
      <c r="F59" s="2">
        <v>501121000000</v>
      </c>
      <c r="G59" s="2">
        <v>501121000000</v>
      </c>
    </row>
    <row r="60" spans="1:7" x14ac:dyDescent="0.3">
      <c r="A60" t="s">
        <v>22</v>
      </c>
      <c r="B60" t="s">
        <v>33</v>
      </c>
      <c r="C60">
        <v>1</v>
      </c>
      <c r="D60">
        <v>318.69</v>
      </c>
      <c r="E60">
        <v>318.69</v>
      </c>
      <c r="F60" t="s">
        <v>34</v>
      </c>
      <c r="G60" s="2">
        <v>501140000000</v>
      </c>
    </row>
    <row r="61" spans="1:7" x14ac:dyDescent="0.3">
      <c r="A61" t="s">
        <v>22</v>
      </c>
      <c r="B61" t="s">
        <v>23</v>
      </c>
      <c r="C61">
        <v>1</v>
      </c>
      <c r="D61">
        <v>50.2</v>
      </c>
      <c r="E61">
        <v>50.2</v>
      </c>
      <c r="F61">
        <v>11004942</v>
      </c>
      <c r="G61" t="s">
        <v>24</v>
      </c>
    </row>
    <row r="62" spans="1:7" x14ac:dyDescent="0.3">
      <c r="A62" t="s">
        <v>19</v>
      </c>
      <c r="B62" t="s">
        <v>20</v>
      </c>
      <c r="C62">
        <v>1</v>
      </c>
      <c r="D62">
        <v>12.74</v>
      </c>
      <c r="E62">
        <v>12.74</v>
      </c>
      <c r="F62">
        <v>11091102</v>
      </c>
      <c r="G62" t="s">
        <v>50</v>
      </c>
    </row>
    <row r="63" spans="1:7" x14ac:dyDescent="0.3">
      <c r="A63" t="s">
        <v>25</v>
      </c>
      <c r="B63" t="s">
        <v>26</v>
      </c>
      <c r="C63">
        <v>1</v>
      </c>
      <c r="D63">
        <v>655.24</v>
      </c>
      <c r="E63">
        <v>655.24</v>
      </c>
      <c r="F63" t="s">
        <v>27</v>
      </c>
      <c r="G63" s="2">
        <v>501111000000</v>
      </c>
    </row>
    <row r="64" spans="1:7" x14ac:dyDescent="0.3">
      <c r="A64" t="s">
        <v>29</v>
      </c>
      <c r="B64" t="s">
        <v>32</v>
      </c>
      <c r="C64">
        <v>10</v>
      </c>
      <c r="D64">
        <v>6.61</v>
      </c>
      <c r="E64">
        <v>66.099999999999994</v>
      </c>
      <c r="F64" s="2">
        <v>501121000000</v>
      </c>
      <c r="G64" s="2">
        <v>501121000000</v>
      </c>
    </row>
    <row r="65" spans="1:7" x14ac:dyDescent="0.3">
      <c r="A65" t="s">
        <v>36</v>
      </c>
      <c r="B65" t="s">
        <v>37</v>
      </c>
      <c r="C65">
        <v>5</v>
      </c>
      <c r="D65">
        <v>16.54</v>
      </c>
      <c r="E65">
        <v>82.7</v>
      </c>
      <c r="F65" t="s">
        <v>38</v>
      </c>
      <c r="G65" s="2">
        <v>501121000000</v>
      </c>
    </row>
    <row r="66" spans="1:7" x14ac:dyDescent="0.3">
      <c r="A66" t="s">
        <v>19</v>
      </c>
      <c r="B66" t="s">
        <v>51</v>
      </c>
      <c r="C66">
        <v>1</v>
      </c>
      <c r="D66">
        <v>32.43</v>
      </c>
      <c r="E66">
        <v>32.43</v>
      </c>
      <c r="F66" t="s">
        <v>52</v>
      </c>
      <c r="G66" t="s">
        <v>74</v>
      </c>
    </row>
    <row r="67" spans="1:7" x14ac:dyDescent="0.3">
      <c r="A67" t="s">
        <v>19</v>
      </c>
      <c r="B67" t="s">
        <v>20</v>
      </c>
      <c r="C67">
        <v>1</v>
      </c>
      <c r="D67">
        <v>106.74</v>
      </c>
      <c r="E67">
        <v>106.74</v>
      </c>
      <c r="F67">
        <v>11091102</v>
      </c>
      <c r="G67" s="2">
        <v>501150000000</v>
      </c>
    </row>
    <row r="68" spans="1:7" x14ac:dyDescent="0.3">
      <c r="A68" t="s">
        <v>22</v>
      </c>
      <c r="B68" t="s">
        <v>23</v>
      </c>
      <c r="C68">
        <v>1</v>
      </c>
      <c r="D68">
        <v>51.94</v>
      </c>
      <c r="E68">
        <v>51.94</v>
      </c>
      <c r="F68">
        <v>11004942</v>
      </c>
      <c r="G68" t="s">
        <v>24</v>
      </c>
    </row>
    <row r="69" spans="1:7" x14ac:dyDescent="0.3">
      <c r="A69" t="s">
        <v>22</v>
      </c>
      <c r="B69" t="s">
        <v>23</v>
      </c>
      <c r="C69">
        <v>1</v>
      </c>
      <c r="D69">
        <v>51.94</v>
      </c>
      <c r="E69">
        <v>51.94</v>
      </c>
      <c r="F69">
        <v>11004942</v>
      </c>
      <c r="G69" t="s">
        <v>24</v>
      </c>
    </row>
    <row r="70" spans="1:7" x14ac:dyDescent="0.3">
      <c r="A70" t="s">
        <v>19</v>
      </c>
      <c r="B70" t="s">
        <v>20</v>
      </c>
      <c r="C70">
        <v>1</v>
      </c>
      <c r="D70">
        <v>106.74</v>
      </c>
      <c r="E70">
        <v>106.74</v>
      </c>
      <c r="F70">
        <v>11091102</v>
      </c>
      <c r="G70" s="2">
        <v>501150000000</v>
      </c>
    </row>
    <row r="71" spans="1:7" x14ac:dyDescent="0.3">
      <c r="A71" t="s">
        <v>22</v>
      </c>
      <c r="B71" t="s">
        <v>53</v>
      </c>
      <c r="C71">
        <v>1</v>
      </c>
      <c r="D71">
        <v>39.520000000000003</v>
      </c>
      <c r="E71">
        <v>39.520000000000003</v>
      </c>
      <c r="F71">
        <v>11005753</v>
      </c>
      <c r="G71" t="s">
        <v>75</v>
      </c>
    </row>
    <row r="72" spans="1:7" x14ac:dyDescent="0.3">
      <c r="A72" t="s">
        <v>42</v>
      </c>
      <c r="B72" t="s">
        <v>76</v>
      </c>
      <c r="C72">
        <v>1</v>
      </c>
      <c r="D72">
        <v>116.14</v>
      </c>
      <c r="E72">
        <v>116.14</v>
      </c>
      <c r="F72">
        <v>11005357</v>
      </c>
      <c r="G72" s="2">
        <v>501130000000</v>
      </c>
    </row>
    <row r="73" spans="1:7" x14ac:dyDescent="0.3">
      <c r="A73" t="s">
        <v>29</v>
      </c>
      <c r="B73" t="s">
        <v>30</v>
      </c>
      <c r="C73">
        <v>10</v>
      </c>
      <c r="D73">
        <v>8.3000000000000007</v>
      </c>
      <c r="E73">
        <v>83</v>
      </c>
      <c r="F73" t="s">
        <v>31</v>
      </c>
      <c r="G73" s="2">
        <v>501121000000</v>
      </c>
    </row>
    <row r="74" spans="1:7" x14ac:dyDescent="0.3">
      <c r="A74" t="s">
        <v>29</v>
      </c>
      <c r="B74" t="s">
        <v>32</v>
      </c>
      <c r="C74">
        <v>10</v>
      </c>
      <c r="D74">
        <v>6.61</v>
      </c>
      <c r="E74">
        <v>66.099999999999994</v>
      </c>
      <c r="F74" s="2">
        <v>501121000000</v>
      </c>
      <c r="G74" s="2">
        <v>501121000000</v>
      </c>
    </row>
    <row r="75" spans="1:7" x14ac:dyDescent="0.3">
      <c r="A75" t="s">
        <v>22</v>
      </c>
      <c r="B75" t="s">
        <v>33</v>
      </c>
      <c r="C75">
        <v>1</v>
      </c>
      <c r="D75">
        <v>70.28</v>
      </c>
      <c r="E75">
        <v>70.28</v>
      </c>
      <c r="F75" t="s">
        <v>34</v>
      </c>
      <c r="G75" t="s">
        <v>35</v>
      </c>
    </row>
    <row r="76" spans="1:7" x14ac:dyDescent="0.3">
      <c r="A76" t="s">
        <v>22</v>
      </c>
      <c r="B76" t="s">
        <v>23</v>
      </c>
      <c r="C76">
        <v>1</v>
      </c>
      <c r="D76">
        <v>51.94</v>
      </c>
      <c r="E76">
        <v>51.94</v>
      </c>
      <c r="F76">
        <v>11004942</v>
      </c>
      <c r="G76" t="s">
        <v>24</v>
      </c>
    </row>
    <row r="77" spans="1:7" x14ac:dyDescent="0.3">
      <c r="A77" t="s">
        <v>19</v>
      </c>
      <c r="B77" t="s">
        <v>20</v>
      </c>
      <c r="C77">
        <v>1</v>
      </c>
      <c r="D77">
        <v>106.74</v>
      </c>
      <c r="E77">
        <v>106.74</v>
      </c>
      <c r="F77">
        <v>11091102</v>
      </c>
      <c r="G77" s="2">
        <v>501150000000</v>
      </c>
    </row>
    <row r="78" spans="1:7" x14ac:dyDescent="0.3">
      <c r="A78" t="s">
        <v>47</v>
      </c>
      <c r="B78" t="s">
        <v>77</v>
      </c>
      <c r="C78">
        <v>10</v>
      </c>
      <c r="D78">
        <v>9.99</v>
      </c>
      <c r="E78">
        <v>99.9</v>
      </c>
      <c r="F78">
        <v>11100679</v>
      </c>
      <c r="G78" s="2">
        <v>501120000000</v>
      </c>
    </row>
    <row r="79" spans="1:7" x14ac:dyDescent="0.3">
      <c r="A79" t="s">
        <v>47</v>
      </c>
      <c r="B79" t="s">
        <v>78</v>
      </c>
      <c r="C79">
        <v>10</v>
      </c>
      <c r="D79">
        <v>8.27</v>
      </c>
      <c r="E79">
        <v>82.7</v>
      </c>
      <c r="F79">
        <v>11100680</v>
      </c>
      <c r="G79" s="2">
        <v>501120000000</v>
      </c>
    </row>
    <row r="80" spans="1:7" x14ac:dyDescent="0.3">
      <c r="A80" t="s">
        <v>22</v>
      </c>
      <c r="B80" t="s">
        <v>33</v>
      </c>
      <c r="C80">
        <v>1</v>
      </c>
      <c r="D80">
        <v>70.28</v>
      </c>
      <c r="E80">
        <v>70.28</v>
      </c>
      <c r="F80" t="s">
        <v>34</v>
      </c>
      <c r="G80" t="s">
        <v>35</v>
      </c>
    </row>
    <row r="81" spans="1:7" x14ac:dyDescent="0.3">
      <c r="A81" t="s">
        <v>22</v>
      </c>
      <c r="B81" t="s">
        <v>33</v>
      </c>
      <c r="C81">
        <v>1</v>
      </c>
      <c r="D81">
        <v>70.28</v>
      </c>
      <c r="E81">
        <v>70.28</v>
      </c>
      <c r="F81" t="s">
        <v>34</v>
      </c>
      <c r="G81" t="s">
        <v>35</v>
      </c>
    </row>
    <row r="82" spans="1:7" x14ac:dyDescent="0.3">
      <c r="A82" t="s">
        <v>22</v>
      </c>
      <c r="B82" t="s">
        <v>33</v>
      </c>
      <c r="C82">
        <v>1</v>
      </c>
      <c r="D82">
        <v>70.28</v>
      </c>
      <c r="E82">
        <v>70.28</v>
      </c>
      <c r="F82" t="s">
        <v>34</v>
      </c>
      <c r="G82" t="s">
        <v>35</v>
      </c>
    </row>
    <row r="83" spans="1:7" x14ac:dyDescent="0.3">
      <c r="A83" t="s">
        <v>29</v>
      </c>
      <c r="B83" t="s">
        <v>39</v>
      </c>
      <c r="C83">
        <v>10</v>
      </c>
      <c r="D83">
        <v>8.24</v>
      </c>
      <c r="E83">
        <v>82.4</v>
      </c>
      <c r="F83" t="s">
        <v>40</v>
      </c>
      <c r="G83" s="2">
        <v>501120000000</v>
      </c>
    </row>
    <row r="84" spans="1:7" x14ac:dyDescent="0.3">
      <c r="A84" t="s">
        <v>22</v>
      </c>
      <c r="B84" t="s">
        <v>33</v>
      </c>
      <c r="C84">
        <v>1</v>
      </c>
      <c r="D84">
        <v>70.28</v>
      </c>
      <c r="E84">
        <v>70.28</v>
      </c>
      <c r="F84" t="s">
        <v>34</v>
      </c>
      <c r="G84" t="s">
        <v>35</v>
      </c>
    </row>
    <row r="85" spans="1:7" x14ac:dyDescent="0.3">
      <c r="A85" t="s">
        <v>22</v>
      </c>
      <c r="B85" t="s">
        <v>60</v>
      </c>
      <c r="C85">
        <v>1</v>
      </c>
      <c r="D85">
        <v>0.01</v>
      </c>
      <c r="E85">
        <v>0.01</v>
      </c>
      <c r="F85">
        <v>11004613</v>
      </c>
      <c r="G85" s="2">
        <v>501140000000</v>
      </c>
    </row>
    <row r="86" spans="1:7" x14ac:dyDescent="0.3">
      <c r="A86" t="s">
        <v>19</v>
      </c>
      <c r="B86" t="s">
        <v>20</v>
      </c>
      <c r="C86">
        <v>1</v>
      </c>
      <c r="D86">
        <v>106.74</v>
      </c>
      <c r="E86">
        <v>106.74</v>
      </c>
      <c r="F86">
        <v>11091102</v>
      </c>
      <c r="G86" s="2">
        <v>501150000000</v>
      </c>
    </row>
    <row r="87" spans="1:7" x14ac:dyDescent="0.3">
      <c r="A87" t="s">
        <v>25</v>
      </c>
      <c r="B87" t="s">
        <v>26</v>
      </c>
      <c r="C87">
        <v>1</v>
      </c>
      <c r="D87">
        <v>476.63</v>
      </c>
      <c r="E87">
        <v>476.63</v>
      </c>
      <c r="F87" t="s">
        <v>27</v>
      </c>
      <c r="G87" t="s">
        <v>28</v>
      </c>
    </row>
    <row r="88" spans="1:7" x14ac:dyDescent="0.3">
      <c r="A88" t="s">
        <v>36</v>
      </c>
      <c r="B88" t="s">
        <v>37</v>
      </c>
      <c r="C88">
        <v>5</v>
      </c>
      <c r="D88">
        <v>16.87</v>
      </c>
      <c r="E88">
        <v>84.35</v>
      </c>
      <c r="F88" t="s">
        <v>38</v>
      </c>
      <c r="G88" s="2">
        <v>501121000000</v>
      </c>
    </row>
    <row r="89" spans="1:7" x14ac:dyDescent="0.3">
      <c r="A89" t="s">
        <v>22</v>
      </c>
      <c r="B89" t="s">
        <v>33</v>
      </c>
      <c r="C89">
        <v>1</v>
      </c>
      <c r="D89">
        <v>70.28</v>
      </c>
      <c r="E89">
        <v>70.28</v>
      </c>
      <c r="F89" t="s">
        <v>34</v>
      </c>
      <c r="G89" t="s">
        <v>35</v>
      </c>
    </row>
    <row r="90" spans="1:7" x14ac:dyDescent="0.3">
      <c r="A90" t="s">
        <v>22</v>
      </c>
      <c r="B90" t="s">
        <v>33</v>
      </c>
      <c r="C90">
        <v>1</v>
      </c>
      <c r="D90">
        <v>318.69</v>
      </c>
      <c r="E90">
        <v>318.69</v>
      </c>
      <c r="F90" t="s">
        <v>34</v>
      </c>
      <c r="G90" s="2">
        <v>501140000000</v>
      </c>
    </row>
    <row r="91" spans="1:7" x14ac:dyDescent="0.3">
      <c r="A91" t="s">
        <v>22</v>
      </c>
      <c r="B91" t="s">
        <v>33</v>
      </c>
      <c r="C91">
        <v>1</v>
      </c>
      <c r="D91">
        <v>318.69</v>
      </c>
      <c r="E91">
        <v>318.69</v>
      </c>
      <c r="F91" t="s">
        <v>34</v>
      </c>
      <c r="G91" s="2">
        <v>501140000000</v>
      </c>
    </row>
    <row r="92" spans="1:7" x14ac:dyDescent="0.3">
      <c r="A92" t="s">
        <v>25</v>
      </c>
      <c r="B92" t="s">
        <v>26</v>
      </c>
      <c r="C92">
        <v>1</v>
      </c>
      <c r="D92">
        <v>476.63</v>
      </c>
      <c r="E92">
        <v>476.63</v>
      </c>
      <c r="F92" t="s">
        <v>27</v>
      </c>
      <c r="G92" t="s">
        <v>28</v>
      </c>
    </row>
    <row r="93" spans="1:7" x14ac:dyDescent="0.3">
      <c r="A93" t="s">
        <v>25</v>
      </c>
      <c r="B93" t="s">
        <v>26</v>
      </c>
      <c r="C93">
        <v>1</v>
      </c>
      <c r="D93">
        <v>476.63</v>
      </c>
      <c r="E93">
        <v>476.63</v>
      </c>
      <c r="F93" t="s">
        <v>27</v>
      </c>
      <c r="G93" t="s">
        <v>28</v>
      </c>
    </row>
    <row r="94" spans="1:7" x14ac:dyDescent="0.3">
      <c r="A94" t="s">
        <v>25</v>
      </c>
      <c r="B94" t="s">
        <v>26</v>
      </c>
      <c r="C94">
        <v>1</v>
      </c>
      <c r="D94">
        <v>655.24</v>
      </c>
      <c r="E94">
        <v>655.24</v>
      </c>
      <c r="F94" t="s">
        <v>27</v>
      </c>
      <c r="G94" s="2">
        <v>501111000000</v>
      </c>
    </row>
    <row r="95" spans="1:7" x14ac:dyDescent="0.3">
      <c r="A95" t="s">
        <v>19</v>
      </c>
      <c r="B95" t="s">
        <v>20</v>
      </c>
      <c r="C95">
        <v>1</v>
      </c>
      <c r="D95">
        <v>106.74</v>
      </c>
      <c r="E95">
        <v>106.74</v>
      </c>
      <c r="F95">
        <v>11091102</v>
      </c>
      <c r="G95" s="2">
        <v>501150000000</v>
      </c>
    </row>
    <row r="96" spans="1:7" x14ac:dyDescent="0.3">
      <c r="A96" t="s">
        <v>22</v>
      </c>
      <c r="B96" t="s">
        <v>23</v>
      </c>
      <c r="C96">
        <v>1</v>
      </c>
      <c r="D96">
        <v>51.94</v>
      </c>
      <c r="E96">
        <v>51.94</v>
      </c>
      <c r="F96">
        <v>11004942</v>
      </c>
      <c r="G96" t="s">
        <v>24</v>
      </c>
    </row>
    <row r="97" spans="1:7" x14ac:dyDescent="0.3">
      <c r="A97" t="s">
        <v>42</v>
      </c>
      <c r="B97" t="s">
        <v>76</v>
      </c>
      <c r="C97">
        <v>1</v>
      </c>
      <c r="D97">
        <v>116.14</v>
      </c>
      <c r="E97">
        <v>116.14</v>
      </c>
      <c r="F97">
        <v>11005357</v>
      </c>
      <c r="G97" s="2">
        <v>501130000000</v>
      </c>
    </row>
    <row r="98" spans="1:7" x14ac:dyDescent="0.3">
      <c r="A98" t="s">
        <v>42</v>
      </c>
      <c r="B98" t="s">
        <v>43</v>
      </c>
      <c r="C98">
        <v>1</v>
      </c>
      <c r="D98">
        <v>60.88</v>
      </c>
      <c r="E98">
        <v>60.88</v>
      </c>
      <c r="F98">
        <v>11007070</v>
      </c>
      <c r="G98" t="s">
        <v>79</v>
      </c>
    </row>
    <row r="99" spans="1:7" x14ac:dyDescent="0.3">
      <c r="A99" t="s">
        <v>54</v>
      </c>
      <c r="B99" t="s">
        <v>55</v>
      </c>
      <c r="C99">
        <v>1</v>
      </c>
      <c r="D99">
        <v>129.82</v>
      </c>
      <c r="E99">
        <v>129.82</v>
      </c>
      <c r="F99" t="s">
        <v>56</v>
      </c>
      <c r="G99" s="2">
        <v>501160000000</v>
      </c>
    </row>
    <row r="100" spans="1:7" x14ac:dyDescent="0.3">
      <c r="A100" t="s">
        <v>29</v>
      </c>
      <c r="B100" t="s">
        <v>32</v>
      </c>
      <c r="C100">
        <v>10</v>
      </c>
      <c r="D100">
        <v>6.61</v>
      </c>
      <c r="E100">
        <v>66.099999999999994</v>
      </c>
      <c r="F100" s="2">
        <v>501121000000</v>
      </c>
      <c r="G100" s="2">
        <v>501121000000</v>
      </c>
    </row>
    <row r="101" spans="1:7" x14ac:dyDescent="0.3">
      <c r="A101" t="s">
        <v>54</v>
      </c>
      <c r="B101" t="s">
        <v>80</v>
      </c>
      <c r="C101">
        <v>1</v>
      </c>
      <c r="D101">
        <v>0.01</v>
      </c>
      <c r="E101">
        <v>0.01</v>
      </c>
      <c r="F101">
        <v>11004594</v>
      </c>
      <c r="G101" s="2">
        <v>501160000000</v>
      </c>
    </row>
    <row r="102" spans="1:7" x14ac:dyDescent="0.3">
      <c r="A102" t="s">
        <v>29</v>
      </c>
      <c r="B102" t="s">
        <v>30</v>
      </c>
      <c r="C102">
        <v>10</v>
      </c>
      <c r="D102">
        <v>8.3000000000000007</v>
      </c>
      <c r="E102">
        <v>83</v>
      </c>
      <c r="F102" t="s">
        <v>31</v>
      </c>
      <c r="G102" s="2">
        <v>501121000000</v>
      </c>
    </row>
    <row r="103" spans="1:7" x14ac:dyDescent="0.3">
      <c r="A103" t="s">
        <v>25</v>
      </c>
      <c r="B103" t="s">
        <v>26</v>
      </c>
      <c r="C103">
        <v>1</v>
      </c>
      <c r="D103">
        <v>476.63</v>
      </c>
      <c r="E103">
        <v>476.63</v>
      </c>
      <c r="F103" t="s">
        <v>27</v>
      </c>
      <c r="G103" t="s">
        <v>28</v>
      </c>
    </row>
    <row r="104" spans="1:7" x14ac:dyDescent="0.3">
      <c r="A104" t="s">
        <v>25</v>
      </c>
      <c r="B104" t="s">
        <v>26</v>
      </c>
      <c r="C104">
        <v>1</v>
      </c>
      <c r="D104">
        <v>476.63</v>
      </c>
      <c r="E104">
        <v>476.63</v>
      </c>
      <c r="F104" t="s">
        <v>27</v>
      </c>
      <c r="G104" t="s">
        <v>28</v>
      </c>
    </row>
    <row r="105" spans="1:7" x14ac:dyDescent="0.3">
      <c r="A105" t="s">
        <v>29</v>
      </c>
      <c r="B105" t="s">
        <v>39</v>
      </c>
      <c r="C105">
        <v>10</v>
      </c>
      <c r="D105">
        <v>8.24</v>
      </c>
      <c r="E105">
        <v>82.4</v>
      </c>
      <c r="F105" t="s">
        <v>40</v>
      </c>
      <c r="G105" s="2">
        <v>501120000000</v>
      </c>
    </row>
    <row r="106" spans="1:7" x14ac:dyDescent="0.3">
      <c r="A106" t="s">
        <v>42</v>
      </c>
      <c r="B106" t="s">
        <v>43</v>
      </c>
      <c r="C106">
        <v>1</v>
      </c>
      <c r="D106">
        <v>60.88</v>
      </c>
      <c r="E106">
        <v>60.88</v>
      </c>
      <c r="F106">
        <v>11007070</v>
      </c>
      <c r="G106" t="s">
        <v>79</v>
      </c>
    </row>
    <row r="107" spans="1:7" x14ac:dyDescent="0.3">
      <c r="A107" t="s">
        <v>22</v>
      </c>
      <c r="B107" t="s">
        <v>33</v>
      </c>
      <c r="C107">
        <v>1</v>
      </c>
      <c r="D107">
        <v>318.69</v>
      </c>
      <c r="E107">
        <v>318.69</v>
      </c>
      <c r="F107" t="s">
        <v>34</v>
      </c>
      <c r="G107" s="2">
        <v>501140000000</v>
      </c>
    </row>
    <row r="108" spans="1:7" x14ac:dyDescent="0.3">
      <c r="A108" t="s">
        <v>29</v>
      </c>
      <c r="B108" t="s">
        <v>32</v>
      </c>
      <c r="C108">
        <v>10</v>
      </c>
      <c r="D108">
        <v>6.61</v>
      </c>
      <c r="E108">
        <v>66.099999999999994</v>
      </c>
      <c r="F108" s="2">
        <v>501121000000</v>
      </c>
      <c r="G108" s="2">
        <v>501121000000</v>
      </c>
    </row>
    <row r="109" spans="1:7" x14ac:dyDescent="0.3">
      <c r="A109" t="s">
        <v>22</v>
      </c>
      <c r="B109" t="s">
        <v>23</v>
      </c>
      <c r="C109">
        <v>1</v>
      </c>
      <c r="D109">
        <v>51.94</v>
      </c>
      <c r="E109">
        <v>51.94</v>
      </c>
      <c r="F109">
        <v>11004942</v>
      </c>
      <c r="G109" t="s">
        <v>24</v>
      </c>
    </row>
    <row r="110" spans="1:7" x14ac:dyDescent="0.3">
      <c r="A110" t="s">
        <v>19</v>
      </c>
      <c r="B110" t="s">
        <v>20</v>
      </c>
      <c r="C110">
        <v>1</v>
      </c>
      <c r="D110">
        <v>17.11</v>
      </c>
      <c r="E110">
        <v>17.11</v>
      </c>
      <c r="F110">
        <v>11091102</v>
      </c>
      <c r="G110" t="s">
        <v>50</v>
      </c>
    </row>
    <row r="111" spans="1:7" x14ac:dyDescent="0.3">
      <c r="A111" t="s">
        <v>22</v>
      </c>
      <c r="B111" t="s">
        <v>23</v>
      </c>
      <c r="C111">
        <v>1</v>
      </c>
      <c r="D111">
        <v>51.94</v>
      </c>
      <c r="E111">
        <v>51.94</v>
      </c>
      <c r="F111">
        <v>11004942</v>
      </c>
      <c r="G111" t="s">
        <v>24</v>
      </c>
    </row>
    <row r="112" spans="1:7" x14ac:dyDescent="0.3">
      <c r="A112" t="s">
        <v>19</v>
      </c>
      <c r="B112" t="s">
        <v>20</v>
      </c>
      <c r="C112">
        <v>1</v>
      </c>
      <c r="D112">
        <v>17.11</v>
      </c>
      <c r="E112">
        <v>17.11</v>
      </c>
      <c r="F112">
        <v>11091102</v>
      </c>
      <c r="G112" t="s">
        <v>50</v>
      </c>
    </row>
    <row r="113" spans="1:7" x14ac:dyDescent="0.3">
      <c r="A113" t="s">
        <v>54</v>
      </c>
      <c r="B113" t="s">
        <v>55</v>
      </c>
      <c r="C113">
        <v>1</v>
      </c>
      <c r="D113">
        <v>344.25</v>
      </c>
      <c r="E113">
        <v>344.25</v>
      </c>
      <c r="F113" t="s">
        <v>56</v>
      </c>
      <c r="G113" s="2">
        <v>501160000000</v>
      </c>
    </row>
    <row r="114" spans="1:7" x14ac:dyDescent="0.3">
      <c r="A114" t="s">
        <v>22</v>
      </c>
      <c r="B114" t="s">
        <v>23</v>
      </c>
      <c r="C114">
        <v>1</v>
      </c>
      <c r="D114">
        <v>51.94</v>
      </c>
      <c r="E114">
        <v>51.94</v>
      </c>
      <c r="F114">
        <v>11004942</v>
      </c>
      <c r="G114" t="s">
        <v>24</v>
      </c>
    </row>
    <row r="115" spans="1:7" x14ac:dyDescent="0.3">
      <c r="A115" t="s">
        <v>19</v>
      </c>
      <c r="B115" t="s">
        <v>20</v>
      </c>
      <c r="C115">
        <v>1</v>
      </c>
      <c r="D115">
        <v>17.11</v>
      </c>
      <c r="E115">
        <v>17.11</v>
      </c>
      <c r="F115">
        <v>11091102</v>
      </c>
      <c r="G115" t="s">
        <v>50</v>
      </c>
    </row>
    <row r="116" spans="1:7" x14ac:dyDescent="0.3">
      <c r="A116" t="s">
        <v>42</v>
      </c>
      <c r="B116" t="s">
        <v>43</v>
      </c>
      <c r="C116">
        <v>1</v>
      </c>
      <c r="D116">
        <v>388.54</v>
      </c>
      <c r="E116">
        <v>388.54</v>
      </c>
      <c r="F116">
        <v>11007070</v>
      </c>
      <c r="G116" s="2">
        <v>501130000000</v>
      </c>
    </row>
    <row r="117" spans="1:7" x14ac:dyDescent="0.3">
      <c r="A117" t="s">
        <v>36</v>
      </c>
      <c r="B117" t="s">
        <v>37</v>
      </c>
      <c r="C117">
        <v>5</v>
      </c>
      <c r="D117">
        <v>16.87</v>
      </c>
      <c r="E117">
        <v>84.35</v>
      </c>
      <c r="F117" t="s">
        <v>38</v>
      </c>
      <c r="G117" s="2">
        <v>501121000000</v>
      </c>
    </row>
    <row r="118" spans="1:7" x14ac:dyDescent="0.3">
      <c r="A118" t="s">
        <v>22</v>
      </c>
      <c r="B118" t="s">
        <v>53</v>
      </c>
      <c r="C118">
        <v>1</v>
      </c>
      <c r="D118">
        <v>39.520000000000003</v>
      </c>
      <c r="E118">
        <v>39.520000000000003</v>
      </c>
      <c r="F118">
        <v>11005753</v>
      </c>
      <c r="G118" t="s">
        <v>75</v>
      </c>
    </row>
    <row r="119" spans="1:7" x14ac:dyDescent="0.3">
      <c r="A119" t="s">
        <v>22</v>
      </c>
      <c r="B119" t="s">
        <v>23</v>
      </c>
      <c r="C119">
        <v>1</v>
      </c>
      <c r="D119">
        <v>51.94</v>
      </c>
      <c r="E119">
        <v>51.94</v>
      </c>
      <c r="F119">
        <v>11004942</v>
      </c>
      <c r="G119" t="s">
        <v>24</v>
      </c>
    </row>
    <row r="120" spans="1:7" x14ac:dyDescent="0.3">
      <c r="A120" t="s">
        <v>22</v>
      </c>
      <c r="B120" t="s">
        <v>53</v>
      </c>
      <c r="C120">
        <v>1</v>
      </c>
      <c r="D120">
        <v>39.520000000000003</v>
      </c>
      <c r="E120">
        <v>39.520000000000003</v>
      </c>
      <c r="F120">
        <v>11005753</v>
      </c>
      <c r="G120" t="s">
        <v>75</v>
      </c>
    </row>
    <row r="121" spans="1:7" x14ac:dyDescent="0.3">
      <c r="A121" t="s">
        <v>54</v>
      </c>
      <c r="B121" t="s">
        <v>55</v>
      </c>
      <c r="C121">
        <v>1</v>
      </c>
      <c r="D121">
        <v>27.44</v>
      </c>
      <c r="E121">
        <v>27.44</v>
      </c>
      <c r="F121" t="s">
        <v>56</v>
      </c>
      <c r="G121" t="s">
        <v>57</v>
      </c>
    </row>
    <row r="122" spans="1:7" x14ac:dyDescent="0.3">
      <c r="A122" t="s">
        <v>29</v>
      </c>
      <c r="B122" t="s">
        <v>32</v>
      </c>
      <c r="C122">
        <v>10</v>
      </c>
      <c r="D122">
        <v>6.61</v>
      </c>
      <c r="E122">
        <v>66.099999999999994</v>
      </c>
      <c r="F122" s="2">
        <v>501121000000</v>
      </c>
      <c r="G122" s="2">
        <v>501121000000</v>
      </c>
    </row>
    <row r="123" spans="1:7" x14ac:dyDescent="0.3">
      <c r="A123" t="s">
        <v>29</v>
      </c>
      <c r="B123" t="s">
        <v>30</v>
      </c>
      <c r="C123">
        <v>10</v>
      </c>
      <c r="D123">
        <v>8.3000000000000007</v>
      </c>
      <c r="E123">
        <v>83</v>
      </c>
      <c r="F123" t="s">
        <v>31</v>
      </c>
      <c r="G123" s="2">
        <v>501121000000</v>
      </c>
    </row>
    <row r="124" spans="1:7" x14ac:dyDescent="0.3">
      <c r="A124" t="s">
        <v>25</v>
      </c>
      <c r="B124" t="s">
        <v>26</v>
      </c>
      <c r="C124">
        <v>1</v>
      </c>
      <c r="D124">
        <v>655.24</v>
      </c>
      <c r="E124">
        <v>655.24</v>
      </c>
      <c r="F124" t="s">
        <v>27</v>
      </c>
      <c r="G124" s="2">
        <v>501111000000</v>
      </c>
    </row>
    <row r="125" spans="1:7" x14ac:dyDescent="0.3">
      <c r="A125" t="s">
        <v>29</v>
      </c>
      <c r="B125" t="s">
        <v>41</v>
      </c>
      <c r="C125">
        <v>10</v>
      </c>
      <c r="D125">
        <v>6.61</v>
      </c>
      <c r="E125">
        <v>66.099999999999994</v>
      </c>
      <c r="F125">
        <v>11147007</v>
      </c>
      <c r="G125" s="2">
        <v>501121000000</v>
      </c>
    </row>
    <row r="126" spans="1:7" x14ac:dyDescent="0.3">
      <c r="A126" t="s">
        <v>22</v>
      </c>
      <c r="B126" t="s">
        <v>60</v>
      </c>
      <c r="C126">
        <v>1</v>
      </c>
      <c r="D126">
        <v>0.01</v>
      </c>
      <c r="E126">
        <v>0.01</v>
      </c>
      <c r="F126">
        <v>11004613</v>
      </c>
      <c r="G126" s="2">
        <v>501140000000</v>
      </c>
    </row>
    <row r="127" spans="1:7" x14ac:dyDescent="0.3">
      <c r="A127" t="s">
        <v>36</v>
      </c>
      <c r="B127" t="s">
        <v>37</v>
      </c>
      <c r="C127">
        <v>5</v>
      </c>
      <c r="D127">
        <v>16.87</v>
      </c>
      <c r="E127">
        <v>84.35</v>
      </c>
      <c r="F127" t="s">
        <v>38</v>
      </c>
      <c r="G127" s="2">
        <v>501121000000</v>
      </c>
    </row>
    <row r="128" spans="1:7" x14ac:dyDescent="0.3">
      <c r="A128" t="s">
        <v>19</v>
      </c>
      <c r="B128" t="s">
        <v>51</v>
      </c>
      <c r="C128">
        <v>1</v>
      </c>
      <c r="D128">
        <v>32.43</v>
      </c>
      <c r="E128">
        <v>32.43</v>
      </c>
      <c r="F128" t="s">
        <v>52</v>
      </c>
      <c r="G128" t="s">
        <v>74</v>
      </c>
    </row>
    <row r="129" spans="1:7" x14ac:dyDescent="0.3">
      <c r="A129" t="s">
        <v>29</v>
      </c>
      <c r="B129" t="s">
        <v>32</v>
      </c>
      <c r="C129">
        <v>10</v>
      </c>
      <c r="D129">
        <v>6.61</v>
      </c>
      <c r="E129">
        <v>66.099999999999994</v>
      </c>
      <c r="F129" s="2">
        <v>501121000000</v>
      </c>
      <c r="G129" s="2">
        <v>501121000000</v>
      </c>
    </row>
    <row r="130" spans="1:7" x14ac:dyDescent="0.3">
      <c r="A130" t="s">
        <v>25</v>
      </c>
      <c r="B130" t="s">
        <v>26</v>
      </c>
      <c r="C130">
        <v>1</v>
      </c>
      <c r="D130">
        <v>655.24</v>
      </c>
      <c r="E130">
        <v>655.24</v>
      </c>
      <c r="F130" t="s">
        <v>27</v>
      </c>
      <c r="G130" s="2">
        <v>501111000000</v>
      </c>
    </row>
    <row r="131" spans="1:7" x14ac:dyDescent="0.3">
      <c r="A131" t="s">
        <v>22</v>
      </c>
      <c r="B131" t="s">
        <v>23</v>
      </c>
      <c r="C131">
        <v>1</v>
      </c>
      <c r="D131">
        <v>51.94</v>
      </c>
      <c r="E131">
        <v>51.94</v>
      </c>
      <c r="F131">
        <v>11004942</v>
      </c>
      <c r="G131" t="s">
        <v>24</v>
      </c>
    </row>
    <row r="132" spans="1:7" x14ac:dyDescent="0.3">
      <c r="A132" t="s">
        <v>19</v>
      </c>
      <c r="B132" t="s">
        <v>20</v>
      </c>
      <c r="C132">
        <v>1</v>
      </c>
      <c r="D132">
        <v>17.11</v>
      </c>
      <c r="E132">
        <v>17.11</v>
      </c>
      <c r="F132">
        <v>11091102</v>
      </c>
      <c r="G132" t="s">
        <v>50</v>
      </c>
    </row>
    <row r="133" spans="1:7" x14ac:dyDescent="0.3">
      <c r="A133" t="s">
        <v>19</v>
      </c>
      <c r="B133" t="s">
        <v>20</v>
      </c>
      <c r="C133">
        <v>1</v>
      </c>
      <c r="D133">
        <v>17.11</v>
      </c>
      <c r="E133">
        <v>17.11</v>
      </c>
      <c r="F133">
        <v>11091102</v>
      </c>
      <c r="G133" t="s">
        <v>50</v>
      </c>
    </row>
    <row r="134" spans="1:7" x14ac:dyDescent="0.3">
      <c r="A134" t="s">
        <v>22</v>
      </c>
      <c r="B134" t="s">
        <v>33</v>
      </c>
      <c r="C134">
        <v>1</v>
      </c>
      <c r="D134">
        <v>70.28</v>
      </c>
      <c r="E134">
        <v>70.28</v>
      </c>
      <c r="F134" t="s">
        <v>34</v>
      </c>
      <c r="G134" t="s">
        <v>35</v>
      </c>
    </row>
    <row r="135" spans="1:7" x14ac:dyDescent="0.3">
      <c r="A135" t="s">
        <v>22</v>
      </c>
      <c r="B135" t="s">
        <v>33</v>
      </c>
      <c r="C135">
        <v>1</v>
      </c>
      <c r="D135">
        <v>70.28</v>
      </c>
      <c r="E135">
        <v>70.28</v>
      </c>
      <c r="F135" t="s">
        <v>34</v>
      </c>
      <c r="G135" t="s">
        <v>35</v>
      </c>
    </row>
    <row r="136" spans="1:7" x14ac:dyDescent="0.3">
      <c r="A136" t="s">
        <v>47</v>
      </c>
      <c r="B136" t="s">
        <v>77</v>
      </c>
      <c r="C136">
        <v>10</v>
      </c>
      <c r="D136">
        <v>10.29</v>
      </c>
      <c r="E136">
        <v>102.9</v>
      </c>
      <c r="F136">
        <v>11100679</v>
      </c>
      <c r="G136" s="2">
        <v>501120000000</v>
      </c>
    </row>
    <row r="137" spans="1:7" x14ac:dyDescent="0.3">
      <c r="A137" t="s">
        <v>47</v>
      </c>
      <c r="B137" t="s">
        <v>78</v>
      </c>
      <c r="C137">
        <v>10</v>
      </c>
      <c r="D137">
        <v>8.52</v>
      </c>
      <c r="E137">
        <v>85.2</v>
      </c>
      <c r="F137">
        <v>11100680</v>
      </c>
      <c r="G137" s="2">
        <v>501120000000</v>
      </c>
    </row>
    <row r="138" spans="1:7" x14ac:dyDescent="0.3">
      <c r="A138" t="s">
        <v>29</v>
      </c>
      <c r="B138" t="s">
        <v>30</v>
      </c>
      <c r="C138">
        <v>10</v>
      </c>
      <c r="D138">
        <v>8.3000000000000007</v>
      </c>
      <c r="E138">
        <v>83</v>
      </c>
      <c r="F138" t="s">
        <v>31</v>
      </c>
      <c r="G138" s="2">
        <v>501121000000</v>
      </c>
    </row>
    <row r="139" spans="1:7" x14ac:dyDescent="0.3">
      <c r="A139" t="s">
        <v>19</v>
      </c>
      <c r="B139" t="s">
        <v>20</v>
      </c>
      <c r="C139">
        <v>1</v>
      </c>
      <c r="D139">
        <v>106.74</v>
      </c>
      <c r="E139">
        <v>106.74</v>
      </c>
      <c r="F139">
        <v>11091102</v>
      </c>
      <c r="G139" s="2">
        <v>501150000000</v>
      </c>
    </row>
    <row r="140" spans="1:7" x14ac:dyDescent="0.3">
      <c r="A140" t="s">
        <v>19</v>
      </c>
      <c r="B140" t="s">
        <v>20</v>
      </c>
      <c r="C140">
        <v>1</v>
      </c>
      <c r="D140">
        <v>106.74</v>
      </c>
      <c r="E140">
        <v>106.74</v>
      </c>
      <c r="F140">
        <v>11091102</v>
      </c>
      <c r="G140" s="2">
        <v>501150000000</v>
      </c>
    </row>
    <row r="141" spans="1:7" x14ac:dyDescent="0.3">
      <c r="A141" t="s">
        <v>29</v>
      </c>
      <c r="B141" t="s">
        <v>39</v>
      </c>
      <c r="C141">
        <v>10</v>
      </c>
      <c r="D141">
        <v>8.24</v>
      </c>
      <c r="E141">
        <v>82.4</v>
      </c>
      <c r="F141" t="s">
        <v>40</v>
      </c>
      <c r="G141" s="2">
        <v>501120000000</v>
      </c>
    </row>
    <row r="142" spans="1:7" x14ac:dyDescent="0.3">
      <c r="A142" t="s">
        <v>62</v>
      </c>
      <c r="B142" t="s">
        <v>81</v>
      </c>
      <c r="C142">
        <v>1</v>
      </c>
      <c r="D142">
        <v>39.36</v>
      </c>
      <c r="E142">
        <v>39.36</v>
      </c>
      <c r="F142" t="s">
        <v>82</v>
      </c>
      <c r="G142" s="2">
        <v>501130000000</v>
      </c>
    </row>
    <row r="143" spans="1:7" x14ac:dyDescent="0.3">
      <c r="A143" t="s">
        <v>62</v>
      </c>
      <c r="B143" t="s">
        <v>81</v>
      </c>
      <c r="C143">
        <v>1</v>
      </c>
      <c r="D143">
        <v>39.36</v>
      </c>
      <c r="E143">
        <v>39.36</v>
      </c>
      <c r="F143" t="s">
        <v>82</v>
      </c>
      <c r="G143" s="2">
        <v>501130000000</v>
      </c>
    </row>
    <row r="144" spans="1:7" x14ac:dyDescent="0.3">
      <c r="A144" t="s">
        <v>22</v>
      </c>
      <c r="B144" t="s">
        <v>33</v>
      </c>
      <c r="C144">
        <v>1</v>
      </c>
      <c r="D144">
        <v>388.03</v>
      </c>
      <c r="E144">
        <v>388.03</v>
      </c>
      <c r="F144" t="s">
        <v>34</v>
      </c>
      <c r="G144" s="2">
        <v>501140000000</v>
      </c>
    </row>
    <row r="145" spans="1:7" x14ac:dyDescent="0.3">
      <c r="A145" t="s">
        <v>29</v>
      </c>
      <c r="B145" t="s">
        <v>32</v>
      </c>
      <c r="C145">
        <v>10</v>
      </c>
      <c r="D145">
        <v>6.81</v>
      </c>
      <c r="E145">
        <v>68.099999999999994</v>
      </c>
      <c r="F145" s="2">
        <v>501121000000</v>
      </c>
      <c r="G145" s="2">
        <v>501121000000</v>
      </c>
    </row>
    <row r="146" spans="1:7" x14ac:dyDescent="0.3">
      <c r="A146" t="s">
        <v>22</v>
      </c>
      <c r="B146" t="s">
        <v>23</v>
      </c>
      <c r="C146">
        <v>1</v>
      </c>
      <c r="D146">
        <v>336.31</v>
      </c>
      <c r="E146">
        <v>336.31</v>
      </c>
      <c r="F146">
        <v>11004942</v>
      </c>
      <c r="G146" s="2">
        <v>501130000000</v>
      </c>
    </row>
    <row r="147" spans="1:7" x14ac:dyDescent="0.3">
      <c r="A147" t="s">
        <v>19</v>
      </c>
      <c r="B147" t="s">
        <v>20</v>
      </c>
      <c r="C147">
        <v>1</v>
      </c>
      <c r="D147">
        <v>106.74</v>
      </c>
      <c r="E147">
        <v>106.74</v>
      </c>
      <c r="F147">
        <v>11091102</v>
      </c>
      <c r="G147" s="2">
        <v>501150000000</v>
      </c>
    </row>
    <row r="148" spans="1:7" x14ac:dyDescent="0.3">
      <c r="A148" t="s">
        <v>36</v>
      </c>
      <c r="B148" t="s">
        <v>37</v>
      </c>
      <c r="C148">
        <v>5</v>
      </c>
      <c r="D148">
        <v>16.87</v>
      </c>
      <c r="E148">
        <v>84.35</v>
      </c>
      <c r="F148" t="s">
        <v>38</v>
      </c>
      <c r="G148" s="2">
        <v>501121000000</v>
      </c>
    </row>
    <row r="149" spans="1:7" x14ac:dyDescent="0.3">
      <c r="A149" t="s">
        <v>29</v>
      </c>
      <c r="B149" t="s">
        <v>41</v>
      </c>
      <c r="C149">
        <v>10</v>
      </c>
      <c r="D149">
        <v>6.81</v>
      </c>
      <c r="E149">
        <v>68.099999999999994</v>
      </c>
      <c r="F149">
        <v>11147007</v>
      </c>
      <c r="G149" s="2">
        <v>501121000000</v>
      </c>
    </row>
    <row r="150" spans="1:7" x14ac:dyDescent="0.3">
      <c r="A150" t="s">
        <v>25</v>
      </c>
      <c r="B150" t="s">
        <v>26</v>
      </c>
      <c r="C150">
        <v>1</v>
      </c>
      <c r="D150">
        <v>476.63</v>
      </c>
      <c r="E150">
        <v>476.63</v>
      </c>
      <c r="F150" t="s">
        <v>27</v>
      </c>
      <c r="G150" t="s">
        <v>28</v>
      </c>
    </row>
    <row r="151" spans="1:7" x14ac:dyDescent="0.3">
      <c r="A151" t="s">
        <v>22</v>
      </c>
      <c r="B151" t="s">
        <v>53</v>
      </c>
      <c r="C151">
        <v>1</v>
      </c>
      <c r="D151">
        <v>51.54</v>
      </c>
      <c r="E151">
        <v>51.54</v>
      </c>
      <c r="F151">
        <v>11005753</v>
      </c>
      <c r="G151" t="s">
        <v>75</v>
      </c>
    </row>
    <row r="152" spans="1:7" x14ac:dyDescent="0.3">
      <c r="A152" t="s">
        <v>29</v>
      </c>
      <c r="B152" t="s">
        <v>30</v>
      </c>
      <c r="C152">
        <v>10</v>
      </c>
      <c r="D152">
        <v>8.3000000000000007</v>
      </c>
      <c r="E152">
        <v>83</v>
      </c>
      <c r="F152" t="s">
        <v>31</v>
      </c>
      <c r="G152" s="2">
        <v>501121000000</v>
      </c>
    </row>
    <row r="153" spans="1:7" x14ac:dyDescent="0.3">
      <c r="A153" t="s">
        <v>25</v>
      </c>
      <c r="B153" t="s">
        <v>26</v>
      </c>
      <c r="C153">
        <v>1</v>
      </c>
      <c r="D153">
        <v>476.63</v>
      </c>
      <c r="E153">
        <v>476.63</v>
      </c>
      <c r="F153" t="s">
        <v>27</v>
      </c>
      <c r="G153" t="s">
        <v>28</v>
      </c>
    </row>
    <row r="154" spans="1:7" x14ac:dyDescent="0.3">
      <c r="A154" t="s">
        <v>22</v>
      </c>
      <c r="B154" t="s">
        <v>83</v>
      </c>
      <c r="C154">
        <v>1</v>
      </c>
      <c r="D154">
        <v>371.57</v>
      </c>
      <c r="E154">
        <v>371.57</v>
      </c>
      <c r="F154" t="s">
        <v>84</v>
      </c>
      <c r="G154" s="2">
        <v>501140000000</v>
      </c>
    </row>
    <row r="155" spans="1:7" x14ac:dyDescent="0.3">
      <c r="A155" t="s">
        <v>29</v>
      </c>
      <c r="B155" t="s">
        <v>32</v>
      </c>
      <c r="C155">
        <v>10</v>
      </c>
      <c r="D155">
        <v>6.81</v>
      </c>
      <c r="E155">
        <v>68.099999999999994</v>
      </c>
      <c r="F155" s="2">
        <v>501121000000</v>
      </c>
      <c r="G155" s="2">
        <v>501121000000</v>
      </c>
    </row>
    <row r="156" spans="1:7" x14ac:dyDescent="0.3">
      <c r="A156" t="s">
        <v>22</v>
      </c>
      <c r="B156" t="s">
        <v>33</v>
      </c>
      <c r="C156">
        <v>1</v>
      </c>
      <c r="D156">
        <v>388.03</v>
      </c>
      <c r="E156">
        <v>388.03</v>
      </c>
      <c r="F156" t="s">
        <v>34</v>
      </c>
      <c r="G156" s="2">
        <v>501140000000</v>
      </c>
    </row>
    <row r="157" spans="1:7" x14ac:dyDescent="0.3">
      <c r="A157" t="s">
        <v>25</v>
      </c>
      <c r="B157" t="s">
        <v>26</v>
      </c>
      <c r="C157">
        <v>1</v>
      </c>
      <c r="D157">
        <v>476.63</v>
      </c>
      <c r="E157">
        <v>476.63</v>
      </c>
      <c r="F157" t="s">
        <v>27</v>
      </c>
      <c r="G157" t="s">
        <v>28</v>
      </c>
    </row>
    <row r="158" spans="1:7" x14ac:dyDescent="0.3">
      <c r="A158" t="s">
        <v>25</v>
      </c>
      <c r="B158" t="s">
        <v>26</v>
      </c>
      <c r="C158">
        <v>1</v>
      </c>
      <c r="D158">
        <v>655.24</v>
      </c>
      <c r="E158">
        <v>655.24</v>
      </c>
      <c r="F158" t="s">
        <v>27</v>
      </c>
      <c r="G158" s="2">
        <v>501111000000</v>
      </c>
    </row>
    <row r="159" spans="1:7" x14ac:dyDescent="0.3">
      <c r="A159" t="s">
        <v>25</v>
      </c>
      <c r="B159" t="s">
        <v>26</v>
      </c>
      <c r="C159">
        <v>1</v>
      </c>
      <c r="D159">
        <v>655.24</v>
      </c>
      <c r="E159">
        <v>655.24</v>
      </c>
      <c r="F159" t="s">
        <v>27</v>
      </c>
      <c r="G159" s="2">
        <v>501111000000</v>
      </c>
    </row>
    <row r="160" spans="1:7" x14ac:dyDescent="0.3">
      <c r="A160" t="s">
        <v>54</v>
      </c>
      <c r="B160" t="s">
        <v>55</v>
      </c>
      <c r="C160">
        <v>1</v>
      </c>
      <c r="D160">
        <v>344.25</v>
      </c>
      <c r="E160">
        <v>344.25</v>
      </c>
      <c r="F160" t="s">
        <v>56</v>
      </c>
      <c r="G160" s="2">
        <v>501160000000</v>
      </c>
    </row>
    <row r="161" spans="1:7" x14ac:dyDescent="0.3">
      <c r="A161" t="s">
        <v>22</v>
      </c>
      <c r="B161" t="s">
        <v>23</v>
      </c>
      <c r="C161">
        <v>1</v>
      </c>
      <c r="D161">
        <v>51.94</v>
      </c>
      <c r="E161">
        <v>51.94</v>
      </c>
      <c r="F161">
        <v>11004942</v>
      </c>
      <c r="G161" t="s">
        <v>24</v>
      </c>
    </row>
    <row r="162" spans="1:7" x14ac:dyDescent="0.3">
      <c r="A162" t="s">
        <v>19</v>
      </c>
      <c r="B162" t="s">
        <v>20</v>
      </c>
      <c r="C162">
        <v>1</v>
      </c>
      <c r="D162">
        <v>106.74</v>
      </c>
      <c r="E162">
        <v>106.74</v>
      </c>
      <c r="F162">
        <v>11091102</v>
      </c>
      <c r="G162" s="2">
        <v>501150000000</v>
      </c>
    </row>
    <row r="163" spans="1:7" x14ac:dyDescent="0.3">
      <c r="A163" t="s">
        <v>19</v>
      </c>
      <c r="B163" t="s">
        <v>58</v>
      </c>
      <c r="C163">
        <v>1</v>
      </c>
      <c r="D163">
        <v>20.65</v>
      </c>
      <c r="E163">
        <v>20.65</v>
      </c>
      <c r="F163" t="s">
        <v>59</v>
      </c>
      <c r="G163" t="s">
        <v>85</v>
      </c>
    </row>
    <row r="164" spans="1:7" x14ac:dyDescent="0.3">
      <c r="A164" t="s">
        <v>42</v>
      </c>
      <c r="B164" t="s">
        <v>76</v>
      </c>
      <c r="C164">
        <v>1</v>
      </c>
      <c r="D164">
        <v>116.14</v>
      </c>
      <c r="E164">
        <v>116.14</v>
      </c>
      <c r="F164">
        <v>11005357</v>
      </c>
      <c r="G164" s="2">
        <v>501130000000</v>
      </c>
    </row>
    <row r="165" spans="1:7" x14ac:dyDescent="0.3">
      <c r="A165" t="s">
        <v>86</v>
      </c>
      <c r="B165" t="s">
        <v>87</v>
      </c>
      <c r="C165">
        <v>1</v>
      </c>
      <c r="D165">
        <v>0.01</v>
      </c>
      <c r="E165">
        <v>0.01</v>
      </c>
      <c r="F165" t="s">
        <v>88</v>
      </c>
      <c r="G165" s="2">
        <v>501150000000</v>
      </c>
    </row>
    <row r="166" spans="1:7" x14ac:dyDescent="0.3">
      <c r="A166" t="s">
        <v>42</v>
      </c>
      <c r="B166" t="s">
        <v>43</v>
      </c>
      <c r="C166">
        <v>1</v>
      </c>
      <c r="D166">
        <v>60.88</v>
      </c>
      <c r="E166">
        <v>60.88</v>
      </c>
      <c r="F166">
        <v>11007070</v>
      </c>
      <c r="G166" t="s">
        <v>79</v>
      </c>
    </row>
    <row r="167" spans="1:7" x14ac:dyDescent="0.3">
      <c r="A167" t="s">
        <v>36</v>
      </c>
      <c r="B167" t="s">
        <v>37</v>
      </c>
      <c r="C167">
        <v>5</v>
      </c>
      <c r="D167">
        <v>16.87</v>
      </c>
      <c r="E167">
        <v>84.35</v>
      </c>
      <c r="F167" t="s">
        <v>38</v>
      </c>
      <c r="G167" s="2">
        <v>501121000000</v>
      </c>
    </row>
    <row r="168" spans="1:7" x14ac:dyDescent="0.3">
      <c r="A168" t="s">
        <v>22</v>
      </c>
      <c r="B168" t="s">
        <v>33</v>
      </c>
      <c r="C168">
        <v>1</v>
      </c>
      <c r="D168">
        <v>388.03</v>
      </c>
      <c r="E168">
        <v>388.03</v>
      </c>
      <c r="F168" t="s">
        <v>34</v>
      </c>
      <c r="G168" s="2">
        <v>501140000000</v>
      </c>
    </row>
    <row r="169" spans="1:7" x14ac:dyDescent="0.3">
      <c r="A169" t="s">
        <v>29</v>
      </c>
      <c r="B169" t="s">
        <v>39</v>
      </c>
      <c r="C169">
        <v>10</v>
      </c>
      <c r="D169">
        <v>8.24</v>
      </c>
      <c r="E169">
        <v>82.4</v>
      </c>
      <c r="F169" t="s">
        <v>40</v>
      </c>
      <c r="G169" s="2">
        <v>501120000000</v>
      </c>
    </row>
    <row r="170" spans="1:7" x14ac:dyDescent="0.3">
      <c r="A170" t="s">
        <v>29</v>
      </c>
      <c r="B170" t="s">
        <v>30</v>
      </c>
      <c r="C170">
        <v>10</v>
      </c>
      <c r="D170">
        <v>8.3000000000000007</v>
      </c>
      <c r="E170">
        <v>83</v>
      </c>
      <c r="F170" t="s">
        <v>31</v>
      </c>
      <c r="G170" s="2">
        <v>501121000000</v>
      </c>
    </row>
    <row r="171" spans="1:7" x14ac:dyDescent="0.3">
      <c r="A171" t="s">
        <v>29</v>
      </c>
      <c r="B171" t="s">
        <v>32</v>
      </c>
      <c r="C171">
        <v>10</v>
      </c>
      <c r="D171">
        <v>6.81</v>
      </c>
      <c r="E171">
        <v>68.099999999999994</v>
      </c>
      <c r="F171" s="2">
        <v>501121000000</v>
      </c>
      <c r="G171" s="2">
        <v>501121000000</v>
      </c>
    </row>
    <row r="172" spans="1:7" x14ac:dyDescent="0.3">
      <c r="A172" t="s">
        <v>19</v>
      </c>
      <c r="B172" t="s">
        <v>20</v>
      </c>
      <c r="C172">
        <v>1</v>
      </c>
      <c r="D172">
        <v>106.74</v>
      </c>
      <c r="E172">
        <v>106.74</v>
      </c>
      <c r="F172">
        <v>11091102</v>
      </c>
      <c r="G172" s="2">
        <v>501150000000</v>
      </c>
    </row>
    <row r="173" spans="1:7" x14ac:dyDescent="0.3">
      <c r="A173" t="s">
        <v>22</v>
      </c>
      <c r="B173" t="s">
        <v>23</v>
      </c>
      <c r="C173">
        <v>1</v>
      </c>
      <c r="D173">
        <v>336.31</v>
      </c>
      <c r="E173">
        <v>336.31</v>
      </c>
      <c r="F173">
        <v>11004942</v>
      </c>
      <c r="G173" s="2">
        <v>501130000000</v>
      </c>
    </row>
    <row r="174" spans="1:7" x14ac:dyDescent="0.3">
      <c r="A174" t="s">
        <v>29</v>
      </c>
      <c r="B174" t="s">
        <v>41</v>
      </c>
      <c r="C174">
        <v>10</v>
      </c>
      <c r="D174">
        <v>6.81</v>
      </c>
      <c r="E174">
        <v>68.099999999999994</v>
      </c>
      <c r="F174">
        <v>11147007</v>
      </c>
      <c r="G174" s="2">
        <v>501121000000</v>
      </c>
    </row>
    <row r="175" spans="1:7" x14ac:dyDescent="0.3">
      <c r="A175" t="s">
        <v>29</v>
      </c>
      <c r="B175" t="s">
        <v>32</v>
      </c>
      <c r="C175">
        <v>10</v>
      </c>
      <c r="D175">
        <v>6.81</v>
      </c>
      <c r="E175">
        <v>68.099999999999994</v>
      </c>
      <c r="F175" s="2">
        <v>501121000000</v>
      </c>
      <c r="G175" s="2">
        <v>501121000000</v>
      </c>
    </row>
    <row r="176" spans="1:7" x14ac:dyDescent="0.3">
      <c r="A176" t="s">
        <v>42</v>
      </c>
      <c r="B176" t="s">
        <v>76</v>
      </c>
      <c r="C176">
        <v>1</v>
      </c>
      <c r="D176">
        <v>116.14</v>
      </c>
      <c r="E176">
        <v>116.14</v>
      </c>
      <c r="F176">
        <v>11005357</v>
      </c>
      <c r="G176" s="2">
        <v>501130000000</v>
      </c>
    </row>
    <row r="177" spans="1:7" x14ac:dyDescent="0.3">
      <c r="A177" t="s">
        <v>22</v>
      </c>
      <c r="B177" t="s">
        <v>33</v>
      </c>
      <c r="C177">
        <v>1</v>
      </c>
      <c r="D177">
        <v>70.28</v>
      </c>
      <c r="E177">
        <v>70.28</v>
      </c>
      <c r="F177" t="s">
        <v>34</v>
      </c>
      <c r="G177" t="s">
        <v>35</v>
      </c>
    </row>
    <row r="178" spans="1:7" x14ac:dyDescent="0.3">
      <c r="A178" t="s">
        <v>29</v>
      </c>
      <c r="B178" t="s">
        <v>61</v>
      </c>
      <c r="C178">
        <v>10</v>
      </c>
      <c r="D178">
        <v>8.93</v>
      </c>
      <c r="E178">
        <v>89.3</v>
      </c>
      <c r="F178">
        <v>11130302</v>
      </c>
      <c r="G178" s="2">
        <v>501121000000</v>
      </c>
    </row>
    <row r="179" spans="1:7" x14ac:dyDescent="0.3">
      <c r="A179" t="s">
        <v>22</v>
      </c>
      <c r="B179" t="s">
        <v>33</v>
      </c>
      <c r="C179">
        <v>1</v>
      </c>
      <c r="D179">
        <v>70.28</v>
      </c>
      <c r="E179">
        <v>70.28</v>
      </c>
      <c r="F179" t="s">
        <v>34</v>
      </c>
      <c r="G179" t="s">
        <v>35</v>
      </c>
    </row>
    <row r="180" spans="1:7" x14ac:dyDescent="0.3">
      <c r="A180" t="s">
        <v>22</v>
      </c>
      <c r="B180" t="s">
        <v>23</v>
      </c>
      <c r="C180">
        <v>1</v>
      </c>
      <c r="D180">
        <v>51.94</v>
      </c>
      <c r="E180">
        <v>51.94</v>
      </c>
      <c r="F180">
        <v>11004942</v>
      </c>
      <c r="G180" t="s">
        <v>24</v>
      </c>
    </row>
    <row r="181" spans="1:7" x14ac:dyDescent="0.3">
      <c r="A181" t="s">
        <v>19</v>
      </c>
      <c r="B181" t="s">
        <v>20</v>
      </c>
      <c r="C181">
        <v>1</v>
      </c>
      <c r="D181">
        <v>106.74</v>
      </c>
      <c r="E181">
        <v>106.74</v>
      </c>
      <c r="F181">
        <v>11091102</v>
      </c>
      <c r="G181" s="2">
        <v>501150000000</v>
      </c>
    </row>
    <row r="182" spans="1:7" x14ac:dyDescent="0.3">
      <c r="A182" t="s">
        <v>36</v>
      </c>
      <c r="B182" t="s">
        <v>37</v>
      </c>
      <c r="C182">
        <v>5</v>
      </c>
      <c r="D182">
        <v>16.87</v>
      </c>
      <c r="E182">
        <v>84.35</v>
      </c>
      <c r="F182" t="s">
        <v>38</v>
      </c>
      <c r="G182" s="2">
        <v>501121000000</v>
      </c>
    </row>
    <row r="183" spans="1:7" x14ac:dyDescent="0.3">
      <c r="A183" t="s">
        <v>22</v>
      </c>
      <c r="B183" t="s">
        <v>53</v>
      </c>
      <c r="C183">
        <v>1</v>
      </c>
      <c r="D183">
        <v>51.54</v>
      </c>
      <c r="E183">
        <v>51.54</v>
      </c>
      <c r="F183">
        <v>11005753</v>
      </c>
      <c r="G183" t="s">
        <v>75</v>
      </c>
    </row>
    <row r="184" spans="1:7" x14ac:dyDescent="0.3">
      <c r="A184" t="s">
        <v>22</v>
      </c>
      <c r="B184" t="s">
        <v>33</v>
      </c>
      <c r="C184">
        <v>1</v>
      </c>
      <c r="D184">
        <v>70.28</v>
      </c>
      <c r="E184">
        <v>70.28</v>
      </c>
      <c r="F184" t="s">
        <v>34</v>
      </c>
      <c r="G184" t="s">
        <v>35</v>
      </c>
    </row>
    <row r="185" spans="1:7" x14ac:dyDescent="0.3">
      <c r="A185" t="s">
        <v>29</v>
      </c>
      <c r="B185" t="s">
        <v>32</v>
      </c>
      <c r="C185">
        <v>10</v>
      </c>
      <c r="D185">
        <v>6.81</v>
      </c>
      <c r="E185">
        <v>68.099999999999994</v>
      </c>
      <c r="F185" s="2">
        <v>501121000000</v>
      </c>
      <c r="G185" s="2">
        <v>501121000000</v>
      </c>
    </row>
    <row r="186" spans="1:7" x14ac:dyDescent="0.3">
      <c r="A186" t="s">
        <v>29</v>
      </c>
      <c r="B186" t="s">
        <v>39</v>
      </c>
      <c r="C186">
        <v>10</v>
      </c>
      <c r="D186">
        <v>8.24</v>
      </c>
      <c r="E186">
        <v>82.4</v>
      </c>
      <c r="F186" t="s">
        <v>40</v>
      </c>
      <c r="G186" s="2">
        <v>501120000000</v>
      </c>
    </row>
    <row r="187" spans="1:7" x14ac:dyDescent="0.3">
      <c r="A187" t="s">
        <v>29</v>
      </c>
      <c r="B187" t="s">
        <v>30</v>
      </c>
      <c r="C187">
        <v>10</v>
      </c>
      <c r="D187">
        <v>8.3000000000000007</v>
      </c>
      <c r="E187">
        <v>83</v>
      </c>
      <c r="F187" t="s">
        <v>31</v>
      </c>
      <c r="G187" s="2">
        <v>501121000000</v>
      </c>
    </row>
    <row r="188" spans="1:7" x14ac:dyDescent="0.3">
      <c r="A188" t="s">
        <v>42</v>
      </c>
      <c r="B188" t="s">
        <v>44</v>
      </c>
      <c r="C188">
        <v>1</v>
      </c>
      <c r="D188">
        <v>318.64999999999998</v>
      </c>
      <c r="E188">
        <v>318.64999999999998</v>
      </c>
      <c r="F188">
        <v>11004601</v>
      </c>
      <c r="G188" s="2">
        <v>501130000000</v>
      </c>
    </row>
    <row r="189" spans="1:7" x14ac:dyDescent="0.3">
      <c r="A189" t="s">
        <v>42</v>
      </c>
      <c r="B189" t="s">
        <v>76</v>
      </c>
      <c r="C189">
        <v>1</v>
      </c>
      <c r="D189">
        <v>116.14</v>
      </c>
      <c r="E189">
        <v>116.14</v>
      </c>
      <c r="F189">
        <v>11005357</v>
      </c>
      <c r="G189" s="2">
        <v>501130000000</v>
      </c>
    </row>
    <row r="190" spans="1:7" x14ac:dyDescent="0.3">
      <c r="A190" t="s">
        <v>22</v>
      </c>
      <c r="B190" t="s">
        <v>23</v>
      </c>
      <c r="C190">
        <v>1</v>
      </c>
      <c r="D190">
        <v>51.94</v>
      </c>
      <c r="E190">
        <v>51.94</v>
      </c>
      <c r="F190">
        <v>11004942</v>
      </c>
      <c r="G190" t="s">
        <v>24</v>
      </c>
    </row>
    <row r="191" spans="1:7" x14ac:dyDescent="0.3">
      <c r="A191" t="s">
        <v>29</v>
      </c>
      <c r="B191" t="s">
        <v>41</v>
      </c>
      <c r="C191">
        <v>10</v>
      </c>
      <c r="D191">
        <v>6.81</v>
      </c>
      <c r="E191">
        <v>68.099999999999994</v>
      </c>
      <c r="F191">
        <v>11147007</v>
      </c>
      <c r="G191" s="2">
        <v>501121000000</v>
      </c>
    </row>
    <row r="192" spans="1:7" x14ac:dyDescent="0.3">
      <c r="A192" t="s">
        <v>36</v>
      </c>
      <c r="B192" t="s">
        <v>37</v>
      </c>
      <c r="C192">
        <v>5</v>
      </c>
      <c r="D192">
        <v>16.87</v>
      </c>
      <c r="E192">
        <v>84.35</v>
      </c>
      <c r="F192" t="s">
        <v>38</v>
      </c>
      <c r="G192" s="2">
        <v>501121000000</v>
      </c>
    </row>
    <row r="193" spans="1:7" x14ac:dyDescent="0.3">
      <c r="A193" t="s">
        <v>22</v>
      </c>
      <c r="B193" t="s">
        <v>60</v>
      </c>
      <c r="C193">
        <v>1</v>
      </c>
      <c r="D193">
        <v>0.01</v>
      </c>
      <c r="E193">
        <v>0.01</v>
      </c>
      <c r="F193">
        <v>11004613</v>
      </c>
      <c r="G193" s="2">
        <v>501140000000</v>
      </c>
    </row>
    <row r="194" spans="1:7" x14ac:dyDescent="0.3">
      <c r="A194" t="s">
        <v>25</v>
      </c>
      <c r="B194" t="s">
        <v>26</v>
      </c>
      <c r="C194">
        <v>1</v>
      </c>
      <c r="D194">
        <v>476.63</v>
      </c>
      <c r="E194">
        <v>476.63</v>
      </c>
      <c r="F194" t="s">
        <v>27</v>
      </c>
      <c r="G194" t="s">
        <v>28</v>
      </c>
    </row>
    <row r="195" spans="1:7" x14ac:dyDescent="0.3">
      <c r="A195" t="s">
        <v>29</v>
      </c>
      <c r="B195" t="s">
        <v>32</v>
      </c>
      <c r="C195">
        <v>10</v>
      </c>
      <c r="D195">
        <v>6.81</v>
      </c>
      <c r="E195">
        <v>68.099999999999994</v>
      </c>
      <c r="F195" s="2">
        <v>501121000000</v>
      </c>
      <c r="G195" s="2">
        <v>501121000000</v>
      </c>
    </row>
    <row r="196" spans="1:7" x14ac:dyDescent="0.3">
      <c r="A196" t="s">
        <v>54</v>
      </c>
      <c r="B196" t="s">
        <v>89</v>
      </c>
      <c r="C196">
        <v>1</v>
      </c>
      <c r="D196">
        <v>96.47</v>
      </c>
      <c r="E196">
        <v>96.47</v>
      </c>
      <c r="F196" t="s">
        <v>90</v>
      </c>
      <c r="G196" s="2">
        <v>501160000000</v>
      </c>
    </row>
    <row r="197" spans="1:7" x14ac:dyDescent="0.3">
      <c r="A197" t="s">
        <v>47</v>
      </c>
      <c r="B197" t="s">
        <v>77</v>
      </c>
      <c r="C197">
        <v>10</v>
      </c>
      <c r="D197">
        <v>10.29</v>
      </c>
      <c r="E197">
        <v>102.9</v>
      </c>
      <c r="F197">
        <v>11100679</v>
      </c>
      <c r="G197" s="2">
        <v>501120000000</v>
      </c>
    </row>
    <row r="198" spans="1:7" x14ac:dyDescent="0.3">
      <c r="A198" t="s">
        <v>22</v>
      </c>
      <c r="B198" t="s">
        <v>23</v>
      </c>
      <c r="C198">
        <v>1</v>
      </c>
      <c r="D198">
        <v>51.94</v>
      </c>
      <c r="E198">
        <v>51.94</v>
      </c>
      <c r="F198">
        <v>11004942</v>
      </c>
      <c r="G198" t="s">
        <v>24</v>
      </c>
    </row>
    <row r="199" spans="1:7" x14ac:dyDescent="0.3">
      <c r="A199" t="s">
        <v>19</v>
      </c>
      <c r="B199" t="s">
        <v>20</v>
      </c>
      <c r="C199">
        <v>1</v>
      </c>
      <c r="D199">
        <v>106.74</v>
      </c>
      <c r="E199">
        <v>106.74</v>
      </c>
      <c r="F199">
        <v>11091102</v>
      </c>
      <c r="G199" s="2">
        <v>501150000000</v>
      </c>
    </row>
    <row r="200" spans="1:7" x14ac:dyDescent="0.3">
      <c r="A200" t="s">
        <v>29</v>
      </c>
      <c r="B200" t="s">
        <v>30</v>
      </c>
      <c r="C200">
        <v>10</v>
      </c>
      <c r="D200">
        <v>8.3000000000000007</v>
      </c>
      <c r="E200">
        <v>83</v>
      </c>
      <c r="F200" t="s">
        <v>31</v>
      </c>
      <c r="G200" s="2">
        <v>501121000000</v>
      </c>
    </row>
    <row r="201" spans="1:7" x14ac:dyDescent="0.3">
      <c r="A201" t="s">
        <v>29</v>
      </c>
      <c r="B201" t="s">
        <v>32</v>
      </c>
      <c r="C201">
        <v>10</v>
      </c>
      <c r="D201">
        <v>6.81</v>
      </c>
      <c r="E201">
        <v>68.099999999999994</v>
      </c>
      <c r="F201" s="2">
        <v>501121000000</v>
      </c>
      <c r="G201" s="2">
        <v>501121000000</v>
      </c>
    </row>
    <row r="202" spans="1:7" x14ac:dyDescent="0.3">
      <c r="A202" t="s">
        <v>47</v>
      </c>
      <c r="B202" t="s">
        <v>78</v>
      </c>
      <c r="C202">
        <v>10</v>
      </c>
      <c r="D202">
        <v>8.52</v>
      </c>
      <c r="E202">
        <v>85.2</v>
      </c>
      <c r="F202">
        <v>11100680</v>
      </c>
      <c r="G202" s="2">
        <v>501120000000</v>
      </c>
    </row>
    <row r="203" spans="1:7" x14ac:dyDescent="0.3">
      <c r="A203" t="s">
        <v>19</v>
      </c>
      <c r="B203" t="s">
        <v>91</v>
      </c>
      <c r="C203">
        <v>1</v>
      </c>
      <c r="D203">
        <v>23.35</v>
      </c>
      <c r="E203">
        <v>23.35</v>
      </c>
      <c r="F203" t="s">
        <v>92</v>
      </c>
      <c r="G203" s="2">
        <v>501150000000</v>
      </c>
    </row>
    <row r="204" spans="1:7" x14ac:dyDescent="0.3">
      <c r="A204" t="s">
        <v>22</v>
      </c>
      <c r="B204" t="s">
        <v>23</v>
      </c>
      <c r="C204">
        <v>1</v>
      </c>
      <c r="D204">
        <v>336.31</v>
      </c>
      <c r="E204">
        <v>336.31</v>
      </c>
      <c r="F204">
        <v>11004942</v>
      </c>
      <c r="G204" s="2">
        <v>501130000000</v>
      </c>
    </row>
    <row r="205" spans="1:7" x14ac:dyDescent="0.3">
      <c r="A205" t="s">
        <v>19</v>
      </c>
      <c r="B205" t="s">
        <v>20</v>
      </c>
      <c r="C205">
        <v>1</v>
      </c>
      <c r="D205">
        <v>106.74</v>
      </c>
      <c r="E205">
        <v>106.74</v>
      </c>
      <c r="F205">
        <v>11091102</v>
      </c>
      <c r="G205" s="2">
        <v>501150000000</v>
      </c>
    </row>
    <row r="206" spans="1:7" x14ac:dyDescent="0.3">
      <c r="A206" t="s">
        <v>54</v>
      </c>
      <c r="B206" t="s">
        <v>55</v>
      </c>
      <c r="C206">
        <v>1</v>
      </c>
      <c r="D206">
        <v>27.44</v>
      </c>
      <c r="E206">
        <v>27.44</v>
      </c>
      <c r="F206" t="s">
        <v>56</v>
      </c>
      <c r="G20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JacekO</dc:creator>
  <cp:lastModifiedBy>Jacek Ostrowski</cp:lastModifiedBy>
  <dcterms:created xsi:type="dcterms:W3CDTF">2015-06-05T18:17:20Z</dcterms:created>
  <dcterms:modified xsi:type="dcterms:W3CDTF">2026-03-25T16:31:08Z</dcterms:modified>
</cp:coreProperties>
</file>